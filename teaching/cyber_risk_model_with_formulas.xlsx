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INPUTS" sheetId="2" r:id="rId5"/>
    <sheet state="visible" name="SCENARIOS" sheetId="3" r:id="rId6"/>
    <sheet state="visible" name="SIMULATION" sheetId="4" r:id="rId7"/>
    <sheet state="visible" name="OUTPUTS" sheetId="5" r:id="rId8"/>
    <sheet state="visible" name="SENSITIVITY" sheetId="6" r:id="rId9"/>
    <sheet state="visible" name="Next Steps" sheetId="7" r:id="rId10"/>
  </sheets>
  <definedNames/>
  <calcPr/>
  <extLst>
    <ext uri="GoogleSheetsCustomDataVersion2">
      <go:sheetsCustomData xmlns:go="http://customooxmlschemas.google.com/" r:id="rId11" roundtripDataChecksum="sNI7pAaobwCV6myM9m7v5nBzF3J+mRoMNtyXzvlmvYM="/>
    </ext>
  </extLst>
</workbook>
</file>

<file path=xl/sharedStrings.xml><?xml version="1.0" encoding="utf-8"?>
<sst xmlns="http://schemas.openxmlformats.org/spreadsheetml/2006/main" count="231" uniqueCount="218">
  <si>
    <t>Cyber Risk-to-Value Model</t>
  </si>
  <si>
    <t>PURPOSE</t>
  </si>
  <si>
    <t>Translate cyber threats into financial numbers using a FAIR-inspired Monte Carlo simulation.
All figures are synthetic / dummy data for learning purposes.</t>
  </si>
  <si>
    <t>WHAT IS FAIR?</t>
  </si>
  <si>
    <t>FAIR = Factor Analysis of Information Risk. It separates risk into two dimensions:
  • HOW OFTEN does a bad event happen? (Frequency)
  • HOW MUCH does it cost when it does? (Magnitude)</t>
  </si>
  <si>
    <t>WHAT IS MONTE CARLO?</t>
  </si>
  <si>
    <t>A technique that repeats a random experiment thousands of times to build a
probability distribution of outcomes — like rolling dice 10,000 times to
understand the full range of possible results.</t>
  </si>
  <si>
    <t>TAB GUIDE</t>
  </si>
  <si>
    <t>Tab</t>
  </si>
  <si>
    <t>What's in it</t>
  </si>
  <si>
    <t>INPUTS</t>
  </si>
  <si>
    <t>Assumptions you can change: frequency, magnitude, control costs</t>
  </si>
  <si>
    <t>SCENARIOS</t>
  </si>
  <si>
    <t>3 risk scenarios with their statistical parameters (λ, μ, σ)</t>
  </si>
  <si>
    <t>SIMULATION</t>
  </si>
  <si>
    <t>500 Monte Carlo iterations — each row is one simulated year</t>
  </si>
  <si>
    <t>OUTPUTS</t>
  </si>
  <si>
    <t>Summary statistics: mean, median, percentiles, ROI</t>
  </si>
  <si>
    <t>SENSITIVITY</t>
  </si>
  <si>
    <t>A grid showing how outcomes shift if frequency/magnitude assumptions change</t>
  </si>
  <si>
    <t>COLOR CODE</t>
  </si>
  <si>
    <t>Blue text  → Input you can change</t>
  </si>
  <si>
    <t>Black text → Formula calculated by Excel</t>
  </si>
  <si>
    <t>Green text → Formula pulling from another tab</t>
  </si>
  <si>
    <t>Yellow bg  → Key cell to pay attention to</t>
  </si>
  <si>
    <t>HOW TO USE</t>
  </si>
  <si>
    <t>Step 1: Read SCENARIOS to understand the risk assumptions.</t>
  </si>
  <si>
    <t>Step 2: Go to INPUTS and change the yellow cells to try different assumptions.</t>
  </si>
  <si>
    <t>Step 3: Watch OUTPUTS update automatically — all tabs are linked by formula.</t>
  </si>
  <si>
    <t>Step 4: Use SENSITIVITY to explore 'what if' scenarios.</t>
  </si>
  <si>
    <t>INPUTS — Change the blue/yellow cells to update the whole model</t>
  </si>
  <si>
    <t>── SIMULATION SETTINGS ──</t>
  </si>
  <si>
    <t>Number of Iterations</t>
  </si>
  <si>
    <t>← INPUTS!B4</t>
  </si>
  <si>
    <t>More iterations = smoother distribution (try 1000). Re-run simulation to refresh.</t>
  </si>
  <si>
    <t>Random Seed</t>
  </si>
  <si>
    <t>Fixing the seed makes results reproducible. Change to any integer for a new draw.</t>
  </si>
  <si>
    <t>── CONTROL ASSUMPTIONS ──</t>
  </si>
  <si>
    <t>Frequency Reduction %  (e.g. MFA, Phishing Training)</t>
  </si>
  <si>
    <t>← INPUTS!B8</t>
  </si>
  <si>
    <t>Controls reduce how OFTEN an event occurs. 30% means attacks happen 30% less.</t>
  </si>
  <si>
    <t>Magnitude Reduction %  (e.g. IR Retainer, Backups)</t>
  </si>
  <si>
    <t>← INPUTS!B9</t>
  </si>
  <si>
    <t>Controls reduce how MUCH an event costs. 35% means losses are 35% smaller.</t>
  </si>
  <si>
    <t>── CONTROL COSTS ──</t>
  </si>
  <si>
    <t>Cost: Frequency Control (e.g. MFA + training programme)</t>
  </si>
  <si>
    <t>Annual cost of prevention-focused investments.</t>
  </si>
  <si>
    <t>Cost: Magnitude Control (e.g. IR retainer + backup solution)</t>
  </si>
  <si>
    <t>Annual cost of response/recovery-focused investments.</t>
  </si>
  <si>
    <t>Cost: Both Controls Combined (assumes synergy savings)</t>
  </si>
  <si>
    <t>Combined cost — less than the sum because some tools serve both purposes.</t>
  </si>
  <si>
    <t>SCENARIOS — Risk parameters for each threat (edit blue cells)</t>
  </si>
  <si>
    <t>Scenario</t>
  </si>
  <si>
    <t>λ  (Lambda)</t>
  </si>
  <si>
    <t>μ  (Mu)</t>
  </si>
  <si>
    <t>σ  (Sigma)</t>
  </si>
  <si>
    <t>Explanation</t>
  </si>
  <si>
    <t>Avg events/year
(Poisson λ)</t>
  </si>
  <si>
    <t>Avg log-loss
(e.g. 14 → ~$1.2M)</t>
  </si>
  <si>
    <t>Spread of loss
(higher = wilder swings)</t>
  </si>
  <si>
    <t>Ransomware</t>
  </si>
  <si>
    <t>λ=0.6 → expect ~1 attack every 1.7 years.  e^14 ≈ $1.2M median loss, but σ=1.2 means a bad event could be 10× that.</t>
  </si>
  <si>
    <t>Business Email Compromise (BEC)</t>
  </si>
  <si>
    <t>λ=0.9 → nearly 1 BEC attempt per year.  Losses are smaller (e^12.5 ≈ $270K) but very consistent (low σ).</t>
  </si>
  <si>
    <t>Data Exfiltration</t>
  </si>
  <si>
    <t>λ=0.3 → rare, roughly 1 in 3 years.  But e^15 ≈ $3.3M median loss and moderate spread make tail risk significant.</t>
  </si>
  <si>
    <t>HOW THE MATH WORKS — formulas Excel uses in the SIMULATION tab</t>
  </si>
  <si>
    <t>Step</t>
  </si>
  <si>
    <t>Formula / Concept</t>
  </si>
  <si>
    <t>Plain English</t>
  </si>
  <si>
    <t>1. Did an event occur?</t>
  </si>
  <si>
    <t>IF(RAND() &lt; lambda, "Yes", "No")   [shown as text example only]</t>
  </si>
  <si>
    <t>RAND() gives a random number 0–1. If it's below λ (the annual probability), an event happened this year.</t>
  </si>
  <si>
    <t>2. How many events?</t>
  </si>
  <si>
    <t>Approx. Poisson via -LN(RAND())/λ  [in SIMULATION col C/F/I]</t>
  </si>
  <si>
    <t>A Poisson draw. When λ is small this is usually 0 or 1.</t>
  </si>
  <si>
    <t>3. How big was the loss?</t>
  </si>
  <si>
    <t>EXP( mu + sigma * NORM.S.INV(RAND()) )   [text example only]</t>
  </si>
  <si>
    <t>Lognormal draw: μ is the average log-loss, σ controls the spread. EXP() converts back to dollars.</t>
  </si>
  <si>
    <t>4. Total loss this year?</t>
  </si>
  <si>
    <t>event_count x individual_loss   [text example only]</t>
  </si>
  <si>
    <t>Multiply # of events by each event's cost. Most years = $0 (no event).</t>
  </si>
  <si>
    <t>5. With frequency control?</t>
  </si>
  <si>
    <t>Use  λ × (1 - Freq_Reduction)  in Step 2</t>
  </si>
  <si>
    <t>If λ=0.6 and reduction=30%, new λ=0.42. Events happen less often.</t>
  </si>
  <si>
    <t>6. With magnitude control?</t>
  </si>
  <si>
    <t>Multiply loss from Step 3 by  (1 - Mag_Reduction)</t>
  </si>
  <si>
    <t>If loss=$1M and reduction=35%, controlled loss=$650K.</t>
  </si>
  <si>
    <t>SIMULATION — Each row is one randomly simulated year (500 iterations)</t>
  </si>
  <si>
    <t>Iteration #</t>
  </si>
  <si>
    <t>BASELINE  (no controls)</t>
  </si>
  <si>
    <t>FREQUENCY CONTROL  (reduce how often)</t>
  </si>
  <si>
    <t>MAGNITUDE CONTROL  (reduce how much)</t>
  </si>
  <si>
    <t>BOTH CONTROLS</t>
  </si>
  <si>
    <t>#</t>
  </si>
  <si>
    <t>BEC</t>
  </si>
  <si>
    <t>Exfil</t>
  </si>
  <si>
    <t>TOTAL ($)</t>
  </si>
  <si>
    <t>→ Row #</t>
  </si>
  <si>
    <t>Formula template:
=IF(RAND()&lt;SCENARIOS!B4, EXP(SCENARIOS!C4+SCENARIOS!D4*NORM.S.INV(RAND())), 0)</t>
  </si>
  <si>
    <t>Formula template:
Same for BEC (row 5)</t>
  </si>
  <si>
    <t>Formula template:
Same for Exfil (row 6)</t>
  </si>
  <si>
    <t>Formula template:
=SUM(B5:D5)  — total loss this year</t>
  </si>
  <si>
    <t>Formula template:
=IF(RAND()&lt;SCENARIOS!B4*(1-INPUTS!B8), EXP(SCENARIOS!C4+SCENARIOS!D4*NORM.S.INV(RAND())), 0)</t>
  </si>
  <si>
    <t>Formula template:
Same, BEC freq reduced</t>
  </si>
  <si>
    <t>Formula template:
Same, Exfil freq reduced</t>
  </si>
  <si>
    <t>Formula template:
=SUM(F5:H5)</t>
  </si>
  <si>
    <t>Formula template:
=IF(RAND()&lt;SCENARIOS!B4, EXP(SCENARIOS!C4+SCENARIOS!D4*NORM.S.INV(RAND()))*(1-INPUTS!B9), 0)</t>
  </si>
  <si>
    <t>Formula template:
Same, BEC mag reduced</t>
  </si>
  <si>
    <t>Formula template:
Same, Exfil mag reduced</t>
  </si>
  <si>
    <t>Formula template:
=SUM(J5:L5)</t>
  </si>
  <si>
    <t>Formula template:
=IF(RAND()&lt;SCENARIOS!B4*(1-INPUTS!B8), EXP(SCENARIOS!C4+SCENARIOS!D4*NORM.S.INV(RAND()))*(1-INPUTS!B9), 0)</t>
  </si>
  <si>
    <t>Formula template:
BEC both</t>
  </si>
  <si>
    <t>Formula template:
Exfil both</t>
  </si>
  <si>
    <t>Formula template:
=SUM(N5:P5)</t>
  </si>
  <si>
    <t>OUTPUTS — All numbers are formulas pulling from SIMULATION</t>
  </si>
  <si>
    <t>Metric</t>
  </si>
  <si>
    <t>Baseline</t>
  </si>
  <si>
    <t>Frequency Control</t>
  </si>
  <si>
    <t>Magnitude Control</t>
  </si>
  <si>
    <t>Both Controls</t>
  </si>
  <si>
    <t>What does this mean?</t>
  </si>
  <si>
    <t>← Formula pattern for each cell in the MEAN row</t>
  </si>
  <si>
    <t>Mean (Expected Annual Loss)</t>
  </si>
  <si>
    <t>The average loss across all 500 simulated years. Think of this as your 'budget' for cyber losses.</t>
  </si>
  <si>
    <t>Median (P50 — half above, half below)</t>
  </si>
  <si>
    <t>In 50% of simulated years, loss was below this. Often much lower than the mean because of rare large events.</t>
  </si>
  <si>
    <t>P75 (75th percentile)</t>
  </si>
  <si>
    <t>In 75% of years, losses were at or below this level.</t>
  </si>
  <si>
    <t>P90</t>
  </si>
  <si>
    <t>Loss level exceeded only 1 in 10 years. A common risk appetite threshold.</t>
  </si>
  <si>
    <t>P95 — 'Value at Risk'</t>
  </si>
  <si>
    <t>Exceeded only 1 in 20 years. The 'tail risk' figure most executives focus on.</t>
  </si>
  <si>
    <t>P99 — Worst-case tail</t>
  </si>
  <si>
    <t>Only exceeded in 1 in 100 years — your 'black swan' estimate.</t>
  </si>
  <si>
    <t>Std Dev (Volatility)</t>
  </si>
  <si>
    <t>How widely spread the results are. High std dev = unpredictable year-to-year losses.</t>
  </si>
  <si>
    <t>RETURN ON INVESTMENT ANALYSIS</t>
  </si>
  <si>
    <t>Control Cost (from INPUTS)</t>
  </si>
  <si>
    <t>Annual cost of each control investment — pulled directly from the INPUTS tab.</t>
  </si>
  <si>
    <t>Expected Savings vs Baseline</t>
  </si>
  <si>
    <t>How much lower is the mean loss compared to Baseline? Formula: Baseline Mean − This Case Mean.</t>
  </si>
  <si>
    <t>Simple ROI  (Savings ÷ Cost)</t>
  </si>
  <si>
    <t>If ROI &gt; 1.0×, the expected savings exceed the cost. &lt;1.0× means cost outweighs benefit at this confidence level.</t>
  </si>
  <si>
    <t>SENSITIVITY — How does P95 loss change as we vary frequency &amp; magnitude reductions?</t>
  </si>
  <si>
    <t>HOW TO READ THIS TABLE</t>
  </si>
  <si>
    <t>Each cell shows the estimated P95 loss (95th percentile) for that combination of Frequency Reduction % (columns) and Magnitude Reduction % (rows).</t>
  </si>
  <si>
    <t>The highlighted diagonal shows the current INPUTS assumption. Green = better than baseline. The further down-right, the more protection.</t>
  </si>
  <si>
    <t>Mag Reduction ↓  /  Freq Reduction →</t>
  </si>
  <si>
    <t>LEGEND</t>
  </si>
  <si>
    <t>Dark green</t>
  </si>
  <si>
    <t>P95 is &lt; 55% of baseline — very strong protection</t>
  </si>
  <si>
    <t>Light green</t>
  </si>
  <si>
    <t>P95 is 55–70% of baseline — solid reduction</t>
  </si>
  <si>
    <t>Yellow</t>
  </si>
  <si>
    <t>P95 is 70–85% of baseline — modest reduction</t>
  </si>
  <si>
    <t>Red</t>
  </si>
  <si>
    <t>P95 is &gt; 85% of baseline — minimal impact</t>
  </si>
  <si>
    <t>Bold border</t>
  </si>
  <si>
    <t>Closest match to your current INPUTS assumptions (Freq=30%, Mag=35%)</t>
  </si>
  <si>
    <t>Here are the main directions you can go with this model:</t>
  </si>
  <si>
    <t>Risk storytelling for executives</t>
  </si>
  <si>
    <t>"Our expected annual cyber loss is $X, but in a bad year (P95) it could reach $Y" — the classic risk narrative</t>
  </si>
  <si>
    <t>Compare the four scenarios side-by-side to show what different control investments are worth in dollar terms</t>
  </si>
  <si>
    <t>Break down which of the three threats (Ransomware, BEC, Exfiltration) is driving the most risk</t>
  </si>
  <si>
    <t>Investment decisions</t>
  </si>
  <si>
    <t>The ROI tab already shows simple payback — you can extend this to show break-even years</t>
  </si>
  <si>
    <t>"At what control cost does the investment stop making financial sense?" (back-solve the ROI)</t>
  </si>
  <si>
    <t>Compare frequency vs. magnitude controls — which type of spending gives better return?</t>
  </si>
  <si>
    <t>Sensitivity &amp; scenario analysis</t>
  </si>
  <si>
    <t>Use the sensitivity grid to answer "what if our security controls are only 50% as effective as assumed?"</t>
  </si>
  <si>
    <t>Stress-test with higher λ values (e.g. if threat landscape worsens)</t>
  </si>
  <si>
    <t>Model a specific vendor proposal: "Vendor X claims to reduce BEC frequency by 40% — is their $800K price tag justified?"</t>
  </si>
  <si>
    <t>Visualizations (charts I could build for you)</t>
  </si>
  <si>
    <t>Loss distribution histogram — shows the "long tail" shape that makes cyber risk unusual</t>
  </si>
  <si>
    <t>Percentile curve — four lines (Baseline, Freq, Mag, Both) showing how controls shift the whole distribution</t>
  </si>
  <si>
    <t>Tornado chart — which scenario contributes most to total P95 loss</t>
  </si>
  <si>
    <t>Sensitivity heatmap — a visual version of the grid tab</t>
  </si>
  <si>
    <t>Reports</t>
  </si>
  <si>
    <t>A one-page executive summary (Word or PDF) translating the numbers into plain English</t>
  </si>
  <si>
    <t>A board-level risk dashboard</t>
  </si>
  <si>
    <t>A vendor evaluation memo using the model's ROI framework</t>
  </si>
  <si>
    <t>Thought Leadership</t>
  </si>
  <si>
    <t>Demystifying the math for practitioners</t>
  </si>
  <si>
    <t>"You don't need a data science degree to quantify cyber risk" — walk through how FAIR + Monte Carlo can be explained to a CFO using only Excel concepts they already know (RAND, PERCENTILE, IF statements)</t>
  </si>
  <si>
    <t>"Why your cyber risk spreadsheet is probably wrong — and how to fix it" — most people use point estimates ("ransomware will cost us $2M") instead of distributions; explain why that's dangerous</t>
  </si>
  <si>
    <t>The CFO/CISO bridge</t>
  </si>
  <si>
    <t>"Speaking finance to your CFO: translating P95 into something the board actually cares about" — the gap between security language and financial language is a massive pain point</t>
  </si>
  <si>
    <t>"Cyber risk is a balance sheet problem, not an IT problem" — using expected loss + tail risk to frame security investment the way a CFO thinks about any other business risk</t>
  </si>
  <si>
    <t>Control investment decisions</t>
  </si>
  <si>
    <t>"Why 'more security' isn't always the right answer" — frequency vs. magnitude controls have very different ROI profiles; the model shows that combining both doesn't always beat a single focused investment</t>
  </si>
  <si>
    <t>"How to stress-test a vendor's security claims before you sign the contract" — plug their promised reduction % into a model like this and see if the price justifies the expected savings</t>
  </si>
  <si>
    <t>Broader industry takes</t>
  </si>
  <si>
    <t>"The problem with cyber insurance benchmarks" — industry loss data is sparse and skewed; here's how to build your own model with your own assumptions rather than relying on black-box benchmarks</t>
  </si>
  <si>
    <t>"Monte Carlo is overkill for most cyber teams — until it isn't" — an honest take on when this level of rigor is worth it vs. when a simpler model suffices</t>
  </si>
  <si>
    <t>The "I built this in Excel" angle</t>
  </si>
  <si>
    <t>This is actually a strong hook on LinkedIn — "I rebuilt a FAIR-inspired cyber risk model in Excel so my clients could see every formula" — the transparency angle resonates with practitioners who are tired of vendor black boxes</t>
  </si>
  <si>
    <t>AI-Enhancements</t>
  </si>
  <si>
    <t>Where AI augments the inputs</t>
  </si>
  <si>
    <t>Better lambda estimates — right now λ (how often an attack occurs) is a guess. AI can ingest threat intelligence feeds, your industry's incident history, and your company's own logs to generate a data-driven frequency estimate rather than an expert opinion</t>
  </si>
  <si>
    <t>Dynamic parameters — instead of static μ/σ values, an LLM could read breach cost reports (IBM, Verizon DBIR) and update your assumptions automatically each year</t>
  </si>
  <si>
    <t>Scenario generation — ask an AI to propose new threat scenarios you haven't thought of, based on your tech stack and industry</t>
  </si>
  <si>
    <t>Where AI augments the simulation</t>
  </si>
  <si>
    <t>Correlated scenarios — the current model treats Ransomware, BEC, and Exfiltration as independent. In reality a single attacker can trigger all three. AI/ML can model the correlation structure between events, which matters enormously for tail risk</t>
  </si>
  <si>
    <t>Non-lognormal loss distributions — real loss data has heavier tails than lognormal. ML models trained on industry data can fit better distributions automatically</t>
  </si>
  <si>
    <t>Continuous recalibration — rather than a static model you update manually, an AI layer re-runs the simulation whenever new internal data arrives (new incidents, near-misses, patching activity)</t>
  </si>
  <si>
    <t>Where AI augments the outputs</t>
  </si>
  <si>
    <t>Automated narrative generation — the model produces numbers; an LLM turns those numbers into a board-ready paragraph explaining what changed since last quarter and why</t>
  </si>
  <si>
    <t>Anomaly flagging — "Your P95 jumped 40% this month — here are the three parameter changes that drove it"</t>
  </si>
  <si>
    <t>Natural language querying — instead of digging through tabs, a non-technical stakeholder asks "what happens to our expected loss if we get hit by ransomware twice in one year?" and gets an instant answer</t>
  </si>
  <si>
    <t>Where AI changes the workflow entirely</t>
  </si>
  <si>
    <t>Agentic modeling — rather than you manually updating INPUTS and re-running, an AI agent monitors threat feeds, proposes parameter updates, runs the simulation, and flags decisions that need human sign-off. The human stays in the loop but isn't doing the mechanical work</t>
  </si>
  <si>
    <t>Vendor evaluation automation — feed an AI a vendor's security proposal and it extracts their claimed reduction percentages, plugs them into your model, and returns an ROI verdict before you've read the full deck</t>
  </si>
  <si>
    <t>What-if conversations — instead of a sensitivity grid, you have a conversation: "Show me the break-even control cost if our BEC frequency doubles"</t>
  </si>
  <si>
    <t>The honest limitations</t>
  </si>
  <si>
    <t>AI inherits garbage-in-garbage-out problems — if your threat data is poor, confident-sounding AI estimates are worse than honest human uncertainty</t>
  </si>
  <si>
    <t>LLM-generated parameters can be plausible but wrong — the model becomes a black box again, which defeats the transparency purpose you built in with the formula-driven Excel</t>
  </si>
  <si>
    <t>Regulatory and audit contexts often require explainability — a human-readable Excel formula is sometimes more defensible than an ML model, even if the ML model is more accurate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</si>
</sst>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\$#,##0"/>
    <numFmt numFmtId="166" formatCode="0.00\×"/>
  </numFmts>
  <fonts count="34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0.0"/>
      <color rgb="FFFFFFFF"/>
      <name val="Arial"/>
    </font>
    <font>
      <sz val="10.0"/>
      <color rgb="FF000000"/>
      <name val="Arial"/>
    </font>
    <font>
      <i/>
      <sz val="10.0"/>
      <color rgb="FF000000"/>
      <name val="Arial"/>
    </font>
    <font>
      <sz val="11.0"/>
      <color theme="1"/>
      <name val="Calibri"/>
    </font>
    <font>
      <b/>
      <sz val="12.0"/>
      <color rgb="FFFFFFFF"/>
      <name val="Arial"/>
    </font>
    <font>
      <sz val="10.0"/>
      <color rgb="FF0000FF"/>
      <name val="Arial"/>
    </font>
    <font>
      <i/>
      <sz val="9.0"/>
      <color rgb="FF808080"/>
      <name val="Arial"/>
    </font>
    <font>
      <i/>
      <sz val="9.0"/>
      <color rgb="FF595959"/>
      <name val="Arial"/>
    </font>
    <font>
      <b/>
      <sz val="10.0"/>
      <color rgb="FF000000"/>
      <name val="Arial"/>
    </font>
    <font>
      <b/>
      <sz val="11.0"/>
      <color rgb="FFFFFFFF"/>
      <name val="Arial"/>
    </font>
    <font>
      <sz val="9.0"/>
      <color rgb="FF000000"/>
      <name val="Arial"/>
    </font>
    <font>
      <i/>
      <sz val="9.0"/>
      <color rgb="FF000000"/>
      <name val="Arial"/>
    </font>
    <font>
      <b/>
      <sz val="9.0"/>
      <color rgb="FFFFFFFF"/>
      <name val="Arial"/>
    </font>
    <font>
      <i/>
      <sz val="8.0"/>
      <color rgb="FF595959"/>
      <name val="Arial"/>
    </font>
    <font>
      <sz val="9.0"/>
      <color rgb="FF808080"/>
      <name val="Arial"/>
    </font>
    <font>
      <b/>
      <sz val="9.0"/>
      <color rgb="FF000000"/>
      <name val="Arial"/>
    </font>
    <font>
      <sz val="10.0"/>
      <color rgb="FF00B050"/>
      <name val="Arial"/>
    </font>
    <font>
      <b/>
      <sz val="11.0"/>
      <color rgb="FF00B050"/>
      <name val="Arial"/>
    </font>
    <font>
      <sz val="10.0"/>
      <color rgb="FF9C5700"/>
      <name val="Arial"/>
    </font>
    <font>
      <sz val="10.0"/>
      <color rgb="FF9C0006"/>
      <name val="Arial"/>
    </font>
    <font>
      <sz val="10.0"/>
      <color rgb="FF375623"/>
      <name val="Arial"/>
    </font>
    <font>
      <sz val="10.0"/>
      <color rgb="FF276221"/>
      <name val="Arial"/>
    </font>
    <font>
      <b/>
      <sz val="9.0"/>
      <color rgb="FF276221"/>
      <name val="Arial"/>
    </font>
    <font>
      <b/>
      <sz val="9.0"/>
      <color rgb="FF375623"/>
      <name val="Arial"/>
    </font>
    <font>
      <b/>
      <sz val="9.0"/>
      <color rgb="FF9C5700"/>
      <name val="Arial"/>
    </font>
    <font>
      <b/>
      <sz val="9.0"/>
      <color rgb="FF9C0006"/>
      <name val="Arial"/>
    </font>
    <font>
      <u/>
      <color rgb="FFFF0000"/>
      <name val="Calibri"/>
      <scheme val="minor"/>
    </font>
    <font>
      <b/>
      <u/>
      <color theme="1"/>
      <name val="Calibri"/>
      <scheme val="minor"/>
    </font>
    <font>
      <color theme="1"/>
      <name val="Calibri"/>
      <scheme val="minor"/>
    </font>
    <font>
      <b/>
      <u/>
      <color rgb="FFFF0000"/>
      <name val="Calibri"/>
      <scheme val="minor"/>
    </font>
    <font>
      <i/>
      <u/>
      <color theme="1"/>
      <name val="Calibri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EBF3FB"/>
        <bgColor rgb="FFEBF3FB"/>
      </patternFill>
    </fill>
    <fill>
      <patternFill patternType="solid">
        <fgColor rgb="FF2E4057"/>
        <bgColor rgb="FF2E4057"/>
      </patternFill>
    </fill>
    <fill>
      <patternFill patternType="solid">
        <fgColor rgb="FF1B6CA8"/>
        <bgColor rgb="FF1B6CA8"/>
      </patternFill>
    </fill>
    <fill>
      <patternFill patternType="solid">
        <fgColor rgb="FF2E7D32"/>
        <bgColor rgb="FF2E7D32"/>
      </patternFill>
    </fill>
    <fill>
      <patternFill patternType="solid">
        <fgColor rgb="FF6A0572"/>
        <bgColor rgb="FF6A0572"/>
      </patternFill>
    </fill>
    <fill>
      <patternFill patternType="solid">
        <fgColor rgb="FFFFF2CC"/>
        <bgColor rgb="FFFFF2CC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left" shrinkToFit="0" vertical="top" wrapText="0"/>
    </xf>
    <xf borderId="0" fillId="0" fontId="4" numFmtId="0" xfId="0" applyAlignment="1" applyFont="1">
      <alignment horizontal="left" shrinkToFit="0" vertical="top" wrapText="1"/>
    </xf>
    <xf borderId="0" fillId="0" fontId="5" numFmtId="0" xfId="0" applyAlignment="1" applyFont="1">
      <alignment horizontal="left" shrinkToFit="0" vertical="top" wrapText="0"/>
    </xf>
    <xf borderId="0" fillId="0" fontId="6" numFmtId="0" xfId="0" applyAlignment="1" applyFont="1">
      <alignment shrinkToFit="0" vertical="bottom" wrapText="0"/>
    </xf>
    <xf borderId="1" fillId="2" fontId="7" numFmtId="0" xfId="0" applyAlignment="1" applyBorder="1" applyFont="1">
      <alignment horizontal="center" shrinkToFit="0" vertical="center" wrapText="0"/>
    </xf>
    <xf borderId="1" fillId="3" fontId="3" numFmtId="0" xfId="0" applyAlignment="1" applyBorder="1" applyFont="1">
      <alignment horizontal="left" shrinkToFit="0" vertical="center" wrapText="0"/>
    </xf>
    <xf borderId="0" fillId="0" fontId="4" numFmtId="0" xfId="0" applyAlignment="1" applyFont="1">
      <alignment horizontal="left" shrinkToFit="0" vertical="center" wrapText="0"/>
    </xf>
    <xf borderId="4" fillId="4" fontId="8" numFmtId="0" xfId="0" applyAlignment="1" applyBorder="1" applyFill="1" applyFont="1">
      <alignment horizontal="center" shrinkToFit="0" vertical="center" wrapText="0"/>
    </xf>
    <xf borderId="0" fillId="0" fontId="9" numFmtId="0" xfId="0" applyAlignment="1" applyFont="1">
      <alignment horizontal="left" shrinkToFit="0" vertical="center" wrapText="0"/>
    </xf>
    <xf borderId="0" fillId="0" fontId="10" numFmtId="0" xfId="0" applyAlignment="1" applyFont="1">
      <alignment horizontal="left" shrinkToFit="0" vertical="center" wrapText="1"/>
    </xf>
    <xf borderId="4" fillId="4" fontId="8" numFmtId="164" xfId="0" applyAlignment="1" applyBorder="1" applyFont="1" applyNumberFormat="1">
      <alignment horizontal="center" shrinkToFit="0" vertical="center" wrapText="0"/>
    </xf>
    <xf borderId="4" fillId="4" fontId="8" numFmtId="165" xfId="0" applyAlignment="1" applyBorder="1" applyFont="1" applyNumberFormat="1">
      <alignment horizontal="center" shrinkToFit="0" vertical="center" wrapText="0"/>
    </xf>
    <xf borderId="4" fillId="3" fontId="3" numFmtId="0" xfId="0" applyAlignment="1" applyBorder="1" applyFont="1">
      <alignment horizontal="center" shrinkToFit="0" vertical="center" wrapText="0"/>
    </xf>
    <xf borderId="4" fillId="5" fontId="10" numFmtId="0" xfId="0" applyAlignment="1" applyBorder="1" applyFill="1" applyFont="1">
      <alignment horizontal="center" shrinkToFit="0" vertical="center" wrapText="1"/>
    </xf>
    <xf borderId="4" fillId="6" fontId="11" numFmtId="0" xfId="0" applyAlignment="1" applyBorder="1" applyFill="1" applyFont="1">
      <alignment horizontal="left" shrinkToFit="0" vertical="center" wrapText="0"/>
    </xf>
    <xf borderId="4" fillId="6" fontId="10" numFmtId="0" xfId="0" applyAlignment="1" applyBorder="1" applyFont="1">
      <alignment horizontal="left" shrinkToFit="0" vertical="center" wrapText="1"/>
    </xf>
    <xf borderId="4" fillId="7" fontId="11" numFmtId="0" xfId="0" applyAlignment="1" applyBorder="1" applyFill="1" applyFont="1">
      <alignment horizontal="left" shrinkToFit="0" vertical="center" wrapText="0"/>
    </xf>
    <xf borderId="4" fillId="7" fontId="10" numFmtId="0" xfId="0" applyAlignment="1" applyBorder="1" applyFont="1">
      <alignment horizontal="left" shrinkToFit="0" vertical="center" wrapText="1"/>
    </xf>
    <xf borderId="1" fillId="2" fontId="12" numFmtId="0" xfId="0" applyAlignment="1" applyBorder="1" applyFont="1">
      <alignment horizontal="center" shrinkToFit="0" vertical="center" wrapText="0"/>
    </xf>
    <xf borderId="4" fillId="3" fontId="3" numFmtId="0" xfId="0" applyAlignment="1" applyBorder="1" applyFont="1">
      <alignment horizontal="left" shrinkToFit="0" vertical="center" wrapText="1"/>
    </xf>
    <xf borderId="1" fillId="3" fontId="3" numFmtId="0" xfId="0" applyAlignment="1" applyBorder="1" applyFont="1">
      <alignment horizontal="left" shrinkToFit="0" vertical="center" wrapText="1"/>
    </xf>
    <xf borderId="4" fillId="6" fontId="13" numFmtId="0" xfId="0" applyAlignment="1" applyBorder="1" applyFont="1">
      <alignment horizontal="left" shrinkToFit="0" vertical="center" wrapText="1"/>
    </xf>
    <xf borderId="4" fillId="6" fontId="14" numFmtId="0" xfId="0" applyAlignment="1" applyBorder="1" applyFont="1">
      <alignment horizontal="left" shrinkToFit="0" vertical="center" wrapText="1"/>
    </xf>
    <xf borderId="1" fillId="6" fontId="13" numFmtId="0" xfId="0" applyAlignment="1" applyBorder="1" applyFont="1">
      <alignment horizontal="left" shrinkToFit="0" vertical="center" wrapText="1"/>
    </xf>
    <xf borderId="4" fillId="7" fontId="13" numFmtId="0" xfId="0" applyAlignment="1" applyBorder="1" applyFont="1">
      <alignment horizontal="left" shrinkToFit="0" vertical="center" wrapText="1"/>
    </xf>
    <xf borderId="4" fillId="7" fontId="14" numFmtId="0" xfId="0" applyAlignment="1" applyBorder="1" applyFont="1">
      <alignment horizontal="left" shrinkToFit="0" vertical="center" wrapText="1"/>
    </xf>
    <xf borderId="1" fillId="7" fontId="13" numFmtId="0" xfId="0" applyAlignment="1" applyBorder="1" applyFont="1">
      <alignment horizontal="left" shrinkToFit="0" vertical="center" wrapText="1"/>
    </xf>
    <xf borderId="4" fillId="2" fontId="3" numFmtId="0" xfId="0" applyAlignment="1" applyBorder="1" applyFont="1">
      <alignment horizontal="center" shrinkToFit="0" vertical="center" wrapText="0"/>
    </xf>
    <xf borderId="1" fillId="8" fontId="3" numFmtId="0" xfId="0" applyAlignment="1" applyBorder="1" applyFill="1" applyFont="1">
      <alignment horizontal="center" shrinkToFit="0" vertical="center" wrapText="0"/>
    </xf>
    <xf borderId="1" fillId="9" fontId="3" numFmtId="0" xfId="0" applyAlignment="1" applyBorder="1" applyFill="1" applyFont="1">
      <alignment horizontal="center" shrinkToFit="0" vertical="center" wrapText="0"/>
    </xf>
    <xf borderId="1" fillId="10" fontId="3" numFmtId="0" xfId="0" applyAlignment="1" applyBorder="1" applyFill="1" applyFont="1">
      <alignment horizontal="center" shrinkToFit="0" vertical="center" wrapText="0"/>
    </xf>
    <xf borderId="1" fillId="11" fontId="3" numFmtId="0" xfId="0" applyAlignment="1" applyBorder="1" applyFill="1" applyFont="1">
      <alignment horizontal="center" shrinkToFit="0" vertical="center" wrapText="0"/>
    </xf>
    <xf borderId="4" fillId="3" fontId="15" numFmtId="0" xfId="0" applyAlignment="1" applyBorder="1" applyFont="1">
      <alignment horizontal="center" shrinkToFit="0" vertical="center" wrapText="1"/>
    </xf>
    <xf borderId="4" fillId="12" fontId="16" numFmtId="0" xfId="0" applyAlignment="1" applyBorder="1" applyFill="1" applyFont="1">
      <alignment horizontal="left" shrinkToFit="0" vertical="top" wrapText="1"/>
    </xf>
    <xf borderId="4" fillId="5" fontId="17" numFmtId="0" xfId="0" applyAlignment="1" applyBorder="1" applyFont="1">
      <alignment horizontal="center" shrinkToFit="0" vertical="bottom" wrapText="0"/>
    </xf>
    <xf borderId="4" fillId="6" fontId="13" numFmtId="165" xfId="0" applyAlignment="1" applyBorder="1" applyFont="1" applyNumberFormat="1">
      <alignment shrinkToFit="0" vertical="bottom" wrapText="0"/>
    </xf>
    <xf borderId="4" fillId="13" fontId="18" numFmtId="165" xfId="0" applyAlignment="1" applyBorder="1" applyFill="1" applyFont="1" applyNumberFormat="1">
      <alignment shrinkToFit="0" vertical="bottom" wrapText="0"/>
    </xf>
    <xf borderId="4" fillId="7" fontId="13" numFmtId="165" xfId="0" applyAlignment="1" applyBorder="1" applyFont="1" applyNumberFormat="1">
      <alignment shrinkToFit="0" vertical="bottom" wrapText="0"/>
    </xf>
    <xf borderId="4" fillId="12" fontId="16" numFmtId="0" xfId="0" applyAlignment="1" applyBorder="1" applyFont="1">
      <alignment horizontal="left" shrinkToFit="0" vertical="center" wrapText="1"/>
    </xf>
    <xf borderId="4" fillId="12" fontId="16" numFmtId="165" xfId="0" applyAlignment="1" applyBorder="1" applyFont="1" applyNumberFormat="1">
      <alignment horizontal="center" shrinkToFit="0" vertical="center" wrapText="1"/>
    </xf>
    <xf borderId="4" fillId="6" fontId="19" numFmtId="165" xfId="0" applyAlignment="1" applyBorder="1" applyFont="1" applyNumberFormat="1">
      <alignment horizontal="center" shrinkToFit="0" vertical="center" wrapText="0"/>
    </xf>
    <xf borderId="4" fillId="7" fontId="19" numFmtId="165" xfId="0" applyAlignment="1" applyBorder="1" applyFont="1" applyNumberFormat="1">
      <alignment horizontal="center" shrinkToFit="0" vertical="center" wrapText="0"/>
    </xf>
    <xf borderId="4" fillId="5" fontId="6" numFmtId="0" xfId="0" applyAlignment="1" applyBorder="1" applyFont="1">
      <alignment shrinkToFit="0" vertical="bottom" wrapText="0"/>
    </xf>
    <xf borderId="4" fillId="14" fontId="20" numFmtId="0" xfId="0" applyAlignment="1" applyBorder="1" applyFill="1" applyFont="1">
      <alignment shrinkToFit="0" vertical="bottom" wrapText="0"/>
    </xf>
    <xf borderId="4" fillId="14" fontId="20" numFmtId="166" xfId="0" applyAlignment="1" applyBorder="1" applyFont="1" applyNumberFormat="1">
      <alignment horizontal="center" shrinkToFit="0" vertical="center" wrapText="0"/>
    </xf>
    <xf borderId="1" fillId="3" fontId="12" numFmtId="0" xfId="0" applyAlignment="1" applyBorder="1" applyFont="1">
      <alignment horizontal="center" shrinkToFit="0" vertical="center" wrapText="0"/>
    </xf>
    <xf borderId="1" fillId="7" fontId="10" numFmtId="0" xfId="0" applyAlignment="1" applyBorder="1" applyFont="1">
      <alignment horizontal="left" shrinkToFit="0" vertical="center" wrapText="1"/>
    </xf>
    <xf borderId="1" fillId="2" fontId="15" numFmtId="0" xfId="0" applyAlignment="1" applyBorder="1" applyFont="1">
      <alignment horizontal="center" shrinkToFit="0" vertical="center" wrapText="1"/>
    </xf>
    <xf borderId="4" fillId="3" fontId="3" numFmtId="9" xfId="0" applyAlignment="1" applyBorder="1" applyFont="1" applyNumberFormat="1">
      <alignment horizontal="center" shrinkToFit="0" vertical="center" wrapText="0"/>
    </xf>
    <xf borderId="1" fillId="3" fontId="3" numFmtId="9" xfId="0" applyAlignment="1" applyBorder="1" applyFont="1" applyNumberFormat="1">
      <alignment horizontal="center" shrinkToFit="0" vertical="center" wrapText="0"/>
    </xf>
    <xf borderId="4" fillId="15" fontId="21" numFmtId="165" xfId="0" applyAlignment="1" applyBorder="1" applyFill="1" applyFont="1" applyNumberFormat="1">
      <alignment horizontal="center" shrinkToFit="0" vertical="center" wrapText="0"/>
    </xf>
    <xf borderId="4" fillId="16" fontId="22" numFmtId="165" xfId="0" applyAlignment="1" applyBorder="1" applyFill="1" applyFont="1" applyNumberFormat="1">
      <alignment horizontal="center" shrinkToFit="0" vertical="center" wrapText="0"/>
    </xf>
    <xf borderId="4" fillId="14" fontId="23" numFmtId="165" xfId="0" applyAlignment="1" applyBorder="1" applyFont="1" applyNumberFormat="1">
      <alignment horizontal="center" shrinkToFit="0" vertical="center" wrapText="0"/>
    </xf>
    <xf borderId="4" fillId="17" fontId="24" numFmtId="165" xfId="0" applyAlignment="1" applyBorder="1" applyFill="1" applyFont="1" applyNumberFormat="1">
      <alignment horizontal="center" shrinkToFit="0" vertical="center" wrapText="0"/>
    </xf>
    <xf borderId="5" fillId="14" fontId="23" numFmtId="165" xfId="0" applyAlignment="1" applyBorder="1" applyFont="1" applyNumberFormat="1">
      <alignment horizontal="center" shrinkToFit="0" vertical="center" wrapText="0"/>
    </xf>
    <xf borderId="1" fillId="17" fontId="25" numFmtId="0" xfId="0" applyAlignment="1" applyBorder="1" applyFont="1">
      <alignment horizontal="center" shrinkToFit="0" vertical="center" wrapText="0"/>
    </xf>
    <xf borderId="0" fillId="0" fontId="13" numFmtId="0" xfId="0" applyAlignment="1" applyFont="1">
      <alignment horizontal="left" shrinkToFit="0" vertical="center" wrapText="0"/>
    </xf>
    <xf borderId="1" fillId="14" fontId="26" numFmtId="0" xfId="0" applyAlignment="1" applyBorder="1" applyFont="1">
      <alignment horizontal="center" shrinkToFit="0" vertical="center" wrapText="0"/>
    </xf>
    <xf borderId="1" fillId="15" fontId="27" numFmtId="0" xfId="0" applyAlignment="1" applyBorder="1" applyFont="1">
      <alignment horizontal="center" shrinkToFit="0" vertical="center" wrapText="0"/>
    </xf>
    <xf borderId="1" fillId="16" fontId="28" numFmtId="0" xfId="0" applyAlignment="1" applyBorder="1" applyFont="1">
      <alignment horizontal="center" shrinkToFit="0" vertical="center" wrapText="0"/>
    </xf>
    <xf borderId="1" fillId="6" fontId="18" numFmtId="0" xfId="0" applyAlignment="1" applyBorder="1" applyFont="1">
      <alignment horizontal="center" shrinkToFit="0" vertical="center" wrapText="0"/>
    </xf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/>
    </xf>
    <xf borderId="0" fillId="0" fontId="32" numFmtId="0" xfId="0" applyAlignment="1" applyFont="1">
      <alignment readingOrder="0"/>
    </xf>
    <xf borderId="0" fillId="0" fontId="3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72.0"/>
    <col customWidth="1" min="3" max="3" width="20.0"/>
    <col customWidth="1" min="4" max="26" width="8.71"/>
  </cols>
  <sheetData>
    <row r="1" ht="36.0" customHeight="1">
      <c r="A1" s="1" t="s">
        <v>0</v>
      </c>
      <c r="B1" s="2"/>
      <c r="C1" s="3"/>
    </row>
    <row r="2" ht="27.75" customHeight="1">
      <c r="A2" s="4" t="s">
        <v>1</v>
      </c>
      <c r="B2" s="5" t="s">
        <v>2</v>
      </c>
      <c r="C2" s="6"/>
    </row>
    <row r="3" ht="18.0" customHeight="1">
      <c r="A3" s="7"/>
      <c r="B3" s="5"/>
      <c r="C3" s="6"/>
    </row>
    <row r="4">
      <c r="A4" s="4" t="s">
        <v>3</v>
      </c>
      <c r="B4" s="5" t="s">
        <v>4</v>
      </c>
      <c r="C4" s="6"/>
    </row>
    <row r="5" ht="18.0" customHeight="1">
      <c r="A5" s="7"/>
      <c r="B5" s="5"/>
      <c r="C5" s="6"/>
    </row>
    <row r="6">
      <c r="A6" s="4" t="s">
        <v>5</v>
      </c>
      <c r="B6" s="5" t="s">
        <v>6</v>
      </c>
      <c r="C6" s="6"/>
    </row>
    <row r="7" ht="18.0" customHeight="1">
      <c r="A7" s="7"/>
      <c r="B7" s="5"/>
      <c r="C7" s="6"/>
    </row>
    <row r="8" ht="18.0" customHeight="1">
      <c r="A8" s="4" t="s">
        <v>7</v>
      </c>
      <c r="B8" s="5" t="s">
        <v>8</v>
      </c>
      <c r="C8" s="6" t="s">
        <v>9</v>
      </c>
    </row>
    <row r="9" ht="18.0" customHeight="1">
      <c r="A9" s="7"/>
      <c r="B9" s="5" t="s">
        <v>10</v>
      </c>
      <c r="C9" s="6" t="s">
        <v>11</v>
      </c>
    </row>
    <row r="10" ht="18.0" customHeight="1">
      <c r="A10" s="7"/>
      <c r="B10" s="5" t="s">
        <v>12</v>
      </c>
      <c r="C10" s="6" t="s">
        <v>13</v>
      </c>
    </row>
    <row r="11" ht="18.0" customHeight="1">
      <c r="A11" s="7"/>
      <c r="B11" s="5" t="s">
        <v>14</v>
      </c>
      <c r="C11" s="6" t="s">
        <v>15</v>
      </c>
    </row>
    <row r="12" ht="18.0" customHeight="1">
      <c r="A12" s="7"/>
      <c r="B12" s="5" t="s">
        <v>16</v>
      </c>
      <c r="C12" s="6" t="s">
        <v>17</v>
      </c>
    </row>
    <row r="13" ht="18.0" customHeight="1">
      <c r="A13" s="7"/>
      <c r="B13" s="5" t="s">
        <v>18</v>
      </c>
      <c r="C13" s="6" t="s">
        <v>19</v>
      </c>
    </row>
    <row r="14" ht="18.0" customHeight="1">
      <c r="A14" s="7"/>
      <c r="B14" s="5"/>
      <c r="C14" s="6"/>
    </row>
    <row r="15" ht="18.0" customHeight="1">
      <c r="A15" s="4" t="s">
        <v>20</v>
      </c>
      <c r="B15" s="5" t="s">
        <v>21</v>
      </c>
      <c r="C15" s="6"/>
    </row>
    <row r="16" ht="18.0" customHeight="1">
      <c r="A16" s="7"/>
      <c r="B16" s="5" t="s">
        <v>22</v>
      </c>
      <c r="C16" s="6"/>
    </row>
    <row r="17" ht="18.0" customHeight="1">
      <c r="A17" s="7"/>
      <c r="B17" s="5" t="s">
        <v>23</v>
      </c>
      <c r="C17" s="6"/>
    </row>
    <row r="18" ht="18.0" customHeight="1">
      <c r="A18" s="7"/>
      <c r="B18" s="5" t="s">
        <v>24</v>
      </c>
      <c r="C18" s="6"/>
    </row>
    <row r="19" ht="18.0" customHeight="1">
      <c r="A19" s="7"/>
      <c r="B19" s="5"/>
      <c r="C19" s="6"/>
    </row>
    <row r="20" ht="18.0" customHeight="1">
      <c r="A20" s="4" t="s">
        <v>25</v>
      </c>
      <c r="B20" s="5" t="s">
        <v>26</v>
      </c>
      <c r="C20" s="6"/>
    </row>
    <row r="21" ht="18.0" customHeight="1">
      <c r="A21" s="7"/>
      <c r="B21" s="5" t="s">
        <v>27</v>
      </c>
      <c r="C21" s="6"/>
    </row>
    <row r="22" ht="18.0" customHeight="1">
      <c r="A22" s="7"/>
      <c r="B22" s="5" t="s">
        <v>28</v>
      </c>
      <c r="C22" s="6"/>
    </row>
    <row r="23" ht="18.0" customHeight="1">
      <c r="A23" s="7"/>
      <c r="B23" s="5" t="s">
        <v>29</v>
      </c>
      <c r="C23" s="6"/>
    </row>
    <row r="24" ht="15.75" customHeight="1">
      <c r="A24" s="7"/>
      <c r="B24" s="7"/>
      <c r="C24" s="7"/>
    </row>
    <row r="25" ht="15.75" customHeight="1">
      <c r="A25" s="7"/>
      <c r="B25" s="7"/>
      <c r="C25" s="7"/>
    </row>
    <row r="26" ht="15.75" customHeight="1">
      <c r="A26" s="7"/>
      <c r="B26" s="7"/>
      <c r="C26" s="7"/>
    </row>
    <row r="27" ht="15.75" customHeight="1">
      <c r="A27" s="7"/>
      <c r="B27" s="7"/>
      <c r="C27" s="7"/>
    </row>
    <row r="28" ht="15.75" customHeight="1">
      <c r="A28" s="7"/>
      <c r="B28" s="7"/>
      <c r="C28" s="7"/>
    </row>
    <row r="29" ht="15.75" customHeight="1">
      <c r="A29" s="7"/>
      <c r="B29" s="7"/>
      <c r="C29" s="7"/>
    </row>
    <row r="30" ht="15.75" customHeight="1">
      <c r="A30" s="7"/>
      <c r="B30" s="7"/>
      <c r="C30" s="7"/>
    </row>
    <row r="31" ht="15.75" customHeight="1">
      <c r="A31" s="7"/>
      <c r="B31" s="7"/>
      <c r="C31" s="7"/>
    </row>
    <row r="32" ht="15.75" customHeight="1">
      <c r="A32" s="7"/>
      <c r="B32" s="7"/>
      <c r="C32" s="7"/>
    </row>
    <row r="33" ht="15.75" customHeight="1">
      <c r="A33" s="7"/>
      <c r="B33" s="7"/>
      <c r="C33" s="7"/>
    </row>
    <row r="34" ht="15.75" customHeight="1">
      <c r="A34" s="7"/>
      <c r="B34" s="7"/>
      <c r="C34" s="7"/>
    </row>
    <row r="35" ht="15.75" customHeight="1">
      <c r="A35" s="7"/>
      <c r="B35" s="7"/>
      <c r="C35" s="7"/>
    </row>
    <row r="36" ht="15.75" customHeight="1">
      <c r="A36" s="7"/>
      <c r="B36" s="7"/>
      <c r="C36" s="7"/>
    </row>
    <row r="37" ht="15.75" customHeight="1">
      <c r="A37" s="7"/>
      <c r="B37" s="7"/>
      <c r="C37" s="7"/>
    </row>
    <row r="38" ht="15.75" customHeight="1">
      <c r="A38" s="7"/>
      <c r="B38" s="7"/>
      <c r="C38" s="7"/>
    </row>
    <row r="39" ht="15.75" customHeight="1">
      <c r="A39" s="7"/>
      <c r="B39" s="7"/>
      <c r="C39" s="7"/>
    </row>
    <row r="40" ht="15.75" customHeight="1">
      <c r="A40" s="7"/>
      <c r="B40" s="7"/>
      <c r="C40" s="7"/>
    </row>
    <row r="41" ht="15.75" customHeight="1">
      <c r="A41" s="7"/>
      <c r="B41" s="7"/>
      <c r="C41" s="7"/>
    </row>
    <row r="42" ht="15.75" customHeight="1">
      <c r="A42" s="7"/>
      <c r="B42" s="7"/>
      <c r="C42" s="7"/>
    </row>
    <row r="43" ht="15.75" customHeight="1">
      <c r="A43" s="7"/>
      <c r="B43" s="7"/>
      <c r="C43" s="7"/>
    </row>
    <row r="44" ht="15.75" customHeight="1">
      <c r="A44" s="7"/>
      <c r="B44" s="7"/>
      <c r="C44" s="7"/>
    </row>
    <row r="45" ht="15.75" customHeight="1">
      <c r="A45" s="7"/>
      <c r="B45" s="7"/>
      <c r="C45" s="7"/>
    </row>
    <row r="46" ht="15.75" customHeight="1">
      <c r="A46" s="7"/>
      <c r="B46" s="7"/>
      <c r="C46" s="7"/>
    </row>
    <row r="47" ht="15.75" customHeight="1">
      <c r="A47" s="7"/>
      <c r="B47" s="7"/>
      <c r="C47" s="7"/>
    </row>
    <row r="48" ht="15.75" customHeight="1">
      <c r="A48" s="7"/>
      <c r="B48" s="7"/>
      <c r="C48" s="7"/>
    </row>
    <row r="49" ht="15.75" customHeight="1">
      <c r="A49" s="7"/>
      <c r="B49" s="7"/>
      <c r="C49" s="7"/>
    </row>
    <row r="50" ht="15.75" customHeight="1">
      <c r="A50" s="7"/>
      <c r="B50" s="7"/>
      <c r="C50" s="7"/>
    </row>
    <row r="51" ht="15.75" customHeight="1">
      <c r="A51" s="7"/>
      <c r="B51" s="7"/>
      <c r="C51" s="7"/>
    </row>
    <row r="52" ht="15.75" customHeight="1">
      <c r="A52" s="7"/>
      <c r="B52" s="7"/>
      <c r="C52" s="7"/>
    </row>
    <row r="53" ht="15.75" customHeight="1">
      <c r="A53" s="7"/>
      <c r="B53" s="7"/>
      <c r="C53" s="7"/>
    </row>
    <row r="54" ht="15.75" customHeight="1">
      <c r="A54" s="7"/>
      <c r="B54" s="7"/>
      <c r="C54" s="7"/>
    </row>
    <row r="55" ht="15.75" customHeight="1">
      <c r="A55" s="7"/>
      <c r="B55" s="7"/>
      <c r="C55" s="7"/>
    </row>
    <row r="56" ht="15.75" customHeight="1">
      <c r="A56" s="7"/>
      <c r="B56" s="7"/>
      <c r="C56" s="7"/>
    </row>
    <row r="57" ht="15.75" customHeight="1">
      <c r="A57" s="7"/>
      <c r="B57" s="7"/>
      <c r="C57" s="7"/>
    </row>
    <row r="58" ht="15.75" customHeight="1">
      <c r="A58" s="7"/>
      <c r="B58" s="7"/>
      <c r="C58" s="7"/>
    </row>
    <row r="59" ht="15.75" customHeight="1">
      <c r="A59" s="7"/>
      <c r="B59" s="7"/>
      <c r="C59" s="7"/>
    </row>
    <row r="60" ht="15.75" customHeight="1">
      <c r="A60" s="7"/>
      <c r="B60" s="7"/>
      <c r="C60" s="7"/>
    </row>
    <row r="61" ht="15.75" customHeight="1">
      <c r="A61" s="7"/>
      <c r="B61" s="7"/>
      <c r="C61" s="7"/>
    </row>
    <row r="62" ht="15.75" customHeight="1">
      <c r="A62" s="7"/>
      <c r="B62" s="7"/>
      <c r="C62" s="7"/>
    </row>
    <row r="63" ht="15.75" customHeight="1">
      <c r="A63" s="7"/>
      <c r="B63" s="7"/>
      <c r="C63" s="7"/>
    </row>
    <row r="64" ht="15.75" customHeight="1">
      <c r="A64" s="7"/>
      <c r="B64" s="7"/>
      <c r="C64" s="7"/>
    </row>
    <row r="65" ht="15.75" customHeight="1">
      <c r="A65" s="7"/>
      <c r="B65" s="7"/>
      <c r="C65" s="7"/>
    </row>
    <row r="66" ht="15.75" customHeight="1">
      <c r="A66" s="7"/>
      <c r="B66" s="7"/>
      <c r="C66" s="7"/>
    </row>
    <row r="67" ht="15.75" customHeight="1">
      <c r="A67" s="7"/>
      <c r="B67" s="7"/>
      <c r="C67" s="7"/>
    </row>
    <row r="68" ht="15.75" customHeight="1">
      <c r="A68" s="7"/>
      <c r="B68" s="7"/>
      <c r="C68" s="7"/>
    </row>
    <row r="69" ht="15.75" customHeight="1">
      <c r="A69" s="7"/>
      <c r="B69" s="7"/>
      <c r="C69" s="7"/>
    </row>
    <row r="70" ht="15.75" customHeight="1">
      <c r="A70" s="7"/>
      <c r="B70" s="7"/>
      <c r="C70" s="7"/>
    </row>
    <row r="71" ht="15.75" customHeight="1">
      <c r="A71" s="7"/>
      <c r="B71" s="7"/>
      <c r="C71" s="7"/>
    </row>
    <row r="72" ht="15.75" customHeight="1">
      <c r="A72" s="7"/>
      <c r="B72" s="7"/>
      <c r="C72" s="7"/>
    </row>
    <row r="73" ht="15.75" customHeight="1">
      <c r="A73" s="7"/>
      <c r="B73" s="7"/>
      <c r="C73" s="7"/>
    </row>
    <row r="74" ht="15.75" customHeight="1">
      <c r="A74" s="7"/>
      <c r="B74" s="7"/>
      <c r="C74" s="7"/>
    </row>
    <row r="75" ht="15.75" customHeight="1">
      <c r="A75" s="7"/>
      <c r="B75" s="7"/>
      <c r="C75" s="7"/>
    </row>
    <row r="76" ht="15.75" customHeight="1">
      <c r="A76" s="7"/>
      <c r="B76" s="7"/>
      <c r="C76" s="7"/>
    </row>
    <row r="77" ht="15.75" customHeight="1">
      <c r="A77" s="7"/>
      <c r="B77" s="7"/>
      <c r="C77" s="7"/>
    </row>
    <row r="78" ht="15.75" customHeight="1">
      <c r="A78" s="7"/>
      <c r="B78" s="7"/>
      <c r="C78" s="7"/>
    </row>
    <row r="79" ht="15.75" customHeight="1">
      <c r="A79" s="7"/>
      <c r="B79" s="7"/>
      <c r="C79" s="7"/>
    </row>
    <row r="80" ht="15.75" customHeight="1">
      <c r="A80" s="7"/>
      <c r="B80" s="7"/>
      <c r="C80" s="7"/>
    </row>
    <row r="81" ht="15.75" customHeight="1">
      <c r="A81" s="7"/>
      <c r="B81" s="7"/>
      <c r="C81" s="7"/>
    </row>
    <row r="82" ht="15.75" customHeight="1">
      <c r="A82" s="7"/>
      <c r="B82" s="7"/>
      <c r="C82" s="7"/>
    </row>
    <row r="83" ht="15.75" customHeight="1">
      <c r="A83" s="7"/>
      <c r="B83" s="7"/>
      <c r="C83" s="7"/>
    </row>
    <row r="84" ht="15.75" customHeight="1">
      <c r="A84" s="7"/>
      <c r="B84" s="7"/>
      <c r="C84" s="7"/>
    </row>
    <row r="85" ht="15.75" customHeight="1">
      <c r="A85" s="7"/>
      <c r="B85" s="7"/>
      <c r="C85" s="7"/>
    </row>
    <row r="86" ht="15.75" customHeight="1">
      <c r="A86" s="7"/>
      <c r="B86" s="7"/>
      <c r="C86" s="7"/>
    </row>
    <row r="87" ht="15.75" customHeight="1">
      <c r="A87" s="7"/>
      <c r="B87" s="7"/>
      <c r="C87" s="7"/>
    </row>
    <row r="88" ht="15.75" customHeight="1">
      <c r="A88" s="7"/>
      <c r="B88" s="7"/>
      <c r="C88" s="7"/>
    </row>
    <row r="89" ht="15.75" customHeight="1">
      <c r="A89" s="7"/>
      <c r="B89" s="7"/>
      <c r="C89" s="7"/>
    </row>
    <row r="90" ht="15.75" customHeight="1">
      <c r="A90" s="7"/>
      <c r="B90" s="7"/>
      <c r="C90" s="7"/>
    </row>
    <row r="91" ht="15.75" customHeight="1">
      <c r="A91" s="7"/>
      <c r="B91" s="7"/>
      <c r="C91" s="7"/>
    </row>
    <row r="92" ht="15.75" customHeight="1">
      <c r="A92" s="7"/>
      <c r="B92" s="7"/>
      <c r="C92" s="7"/>
    </row>
    <row r="93" ht="15.75" customHeight="1">
      <c r="A93" s="7"/>
      <c r="B93" s="7"/>
      <c r="C93" s="7"/>
    </row>
    <row r="94" ht="15.75" customHeight="1">
      <c r="A94" s="7"/>
      <c r="B94" s="7"/>
      <c r="C94" s="7"/>
    </row>
    <row r="95" ht="15.75" customHeight="1">
      <c r="A95" s="7"/>
      <c r="B95" s="7"/>
      <c r="C95" s="7"/>
    </row>
    <row r="96" ht="15.75" customHeight="1">
      <c r="A96" s="7"/>
      <c r="B96" s="7"/>
      <c r="C96" s="7"/>
    </row>
    <row r="97" ht="15.75" customHeight="1">
      <c r="A97" s="7"/>
      <c r="B97" s="7"/>
      <c r="C97" s="7"/>
    </row>
    <row r="98" ht="15.75" customHeight="1">
      <c r="A98" s="7"/>
      <c r="B98" s="7"/>
      <c r="C98" s="7"/>
    </row>
    <row r="99" ht="15.75" customHeight="1">
      <c r="A99" s="7"/>
      <c r="B99" s="7"/>
      <c r="C99" s="7"/>
    </row>
    <row r="100" ht="15.75" customHeight="1">
      <c r="A100" s="7"/>
      <c r="B100" s="7"/>
      <c r="C100" s="7"/>
    </row>
    <row r="101" ht="15.75" customHeight="1">
      <c r="A101" s="7"/>
      <c r="B101" s="7"/>
      <c r="C101" s="7"/>
    </row>
    <row r="102" ht="15.75" customHeight="1">
      <c r="A102" s="7"/>
      <c r="B102" s="7"/>
      <c r="C102" s="7"/>
    </row>
    <row r="103" ht="15.75" customHeight="1">
      <c r="A103" s="7"/>
      <c r="B103" s="7"/>
      <c r="C103" s="7"/>
    </row>
    <row r="104" ht="15.75" customHeight="1">
      <c r="A104" s="7"/>
      <c r="B104" s="7"/>
      <c r="C104" s="7"/>
    </row>
    <row r="105" ht="15.75" customHeight="1">
      <c r="A105" s="7"/>
      <c r="B105" s="7"/>
      <c r="C105" s="7"/>
    </row>
    <row r="106" ht="15.75" customHeight="1">
      <c r="A106" s="7"/>
      <c r="B106" s="7"/>
      <c r="C106" s="7"/>
    </row>
    <row r="107" ht="15.75" customHeight="1">
      <c r="A107" s="7"/>
      <c r="B107" s="7"/>
      <c r="C107" s="7"/>
    </row>
    <row r="108" ht="15.75" customHeight="1">
      <c r="A108" s="7"/>
      <c r="B108" s="7"/>
      <c r="C108" s="7"/>
    </row>
    <row r="109" ht="15.75" customHeight="1">
      <c r="A109" s="7"/>
      <c r="B109" s="7"/>
      <c r="C109" s="7"/>
    </row>
    <row r="110" ht="15.75" customHeight="1">
      <c r="A110" s="7"/>
      <c r="B110" s="7"/>
      <c r="C110" s="7"/>
    </row>
    <row r="111" ht="15.75" customHeight="1">
      <c r="A111" s="7"/>
      <c r="B111" s="7"/>
      <c r="C111" s="7"/>
    </row>
    <row r="112" ht="15.75" customHeight="1">
      <c r="A112" s="7"/>
      <c r="B112" s="7"/>
      <c r="C112" s="7"/>
    </row>
    <row r="113" ht="15.75" customHeight="1">
      <c r="A113" s="7"/>
      <c r="B113" s="7"/>
      <c r="C113" s="7"/>
    </row>
    <row r="114" ht="15.75" customHeight="1">
      <c r="A114" s="7"/>
      <c r="B114" s="7"/>
      <c r="C114" s="7"/>
    </row>
    <row r="115" ht="15.75" customHeight="1">
      <c r="A115" s="7"/>
      <c r="B115" s="7"/>
      <c r="C115" s="7"/>
    </row>
    <row r="116" ht="15.75" customHeight="1">
      <c r="A116" s="7"/>
      <c r="B116" s="7"/>
      <c r="C116" s="7"/>
    </row>
    <row r="117" ht="15.75" customHeight="1">
      <c r="A117" s="7"/>
      <c r="B117" s="7"/>
      <c r="C117" s="7"/>
    </row>
    <row r="118" ht="15.75" customHeight="1">
      <c r="A118" s="7"/>
      <c r="B118" s="7"/>
      <c r="C118" s="7"/>
    </row>
    <row r="119" ht="15.75" customHeight="1">
      <c r="A119" s="7"/>
      <c r="B119" s="7"/>
      <c r="C119" s="7"/>
    </row>
    <row r="120" ht="15.75" customHeight="1">
      <c r="A120" s="7"/>
      <c r="B120" s="7"/>
      <c r="C120" s="7"/>
    </row>
    <row r="121" ht="15.75" customHeight="1">
      <c r="A121" s="7"/>
      <c r="B121" s="7"/>
      <c r="C121" s="7"/>
    </row>
    <row r="122" ht="15.75" customHeight="1">
      <c r="A122" s="7"/>
      <c r="B122" s="7"/>
      <c r="C122" s="7"/>
    </row>
    <row r="123" ht="15.75" customHeight="1">
      <c r="A123" s="7"/>
      <c r="B123" s="7"/>
      <c r="C123" s="7"/>
    </row>
    <row r="124" ht="15.75" customHeight="1">
      <c r="A124" s="7"/>
      <c r="B124" s="7"/>
      <c r="C124" s="7"/>
    </row>
    <row r="125" ht="15.75" customHeight="1">
      <c r="A125" s="7"/>
      <c r="B125" s="7"/>
      <c r="C125" s="7"/>
    </row>
    <row r="126" ht="15.75" customHeight="1">
      <c r="A126" s="7"/>
      <c r="B126" s="7"/>
      <c r="C126" s="7"/>
    </row>
    <row r="127" ht="15.75" customHeight="1">
      <c r="A127" s="7"/>
      <c r="B127" s="7"/>
      <c r="C127" s="7"/>
    </row>
    <row r="128" ht="15.75" customHeight="1">
      <c r="A128" s="7"/>
      <c r="B128" s="7"/>
      <c r="C128" s="7"/>
    </row>
    <row r="129" ht="15.75" customHeight="1">
      <c r="A129" s="7"/>
      <c r="B129" s="7"/>
      <c r="C129" s="7"/>
    </row>
    <row r="130" ht="15.75" customHeight="1">
      <c r="A130" s="7"/>
      <c r="B130" s="7"/>
      <c r="C130" s="7"/>
    </row>
    <row r="131" ht="15.75" customHeight="1">
      <c r="A131" s="7"/>
      <c r="B131" s="7"/>
      <c r="C131" s="7"/>
    </row>
    <row r="132" ht="15.75" customHeight="1">
      <c r="A132" s="7"/>
      <c r="B132" s="7"/>
      <c r="C132" s="7"/>
    </row>
    <row r="133" ht="15.75" customHeight="1">
      <c r="A133" s="7"/>
      <c r="B133" s="7"/>
      <c r="C133" s="7"/>
    </row>
    <row r="134" ht="15.75" customHeight="1">
      <c r="A134" s="7"/>
      <c r="B134" s="7"/>
      <c r="C134" s="7"/>
    </row>
    <row r="135" ht="15.75" customHeight="1">
      <c r="A135" s="7"/>
      <c r="B135" s="7"/>
      <c r="C135" s="7"/>
    </row>
    <row r="136" ht="15.75" customHeight="1">
      <c r="A136" s="7"/>
      <c r="B136" s="7"/>
      <c r="C136" s="7"/>
    </row>
    <row r="137" ht="15.75" customHeight="1">
      <c r="A137" s="7"/>
      <c r="B137" s="7"/>
      <c r="C137" s="7"/>
    </row>
    <row r="138" ht="15.75" customHeight="1">
      <c r="A138" s="7"/>
      <c r="B138" s="7"/>
      <c r="C138" s="7"/>
    </row>
    <row r="139" ht="15.75" customHeight="1">
      <c r="A139" s="7"/>
      <c r="B139" s="7"/>
      <c r="C139" s="7"/>
    </row>
    <row r="140" ht="15.75" customHeight="1">
      <c r="A140" s="7"/>
      <c r="B140" s="7"/>
      <c r="C140" s="7"/>
    </row>
    <row r="141" ht="15.75" customHeight="1">
      <c r="A141" s="7"/>
      <c r="B141" s="7"/>
      <c r="C141" s="7"/>
    </row>
    <row r="142" ht="15.75" customHeight="1">
      <c r="A142" s="7"/>
      <c r="B142" s="7"/>
      <c r="C142" s="7"/>
    </row>
    <row r="143" ht="15.75" customHeight="1">
      <c r="A143" s="7"/>
      <c r="B143" s="7"/>
      <c r="C143" s="7"/>
    </row>
    <row r="144" ht="15.75" customHeight="1">
      <c r="A144" s="7"/>
      <c r="B144" s="7"/>
      <c r="C144" s="7"/>
    </row>
    <row r="145" ht="15.75" customHeight="1">
      <c r="A145" s="7"/>
      <c r="B145" s="7"/>
      <c r="C145" s="7"/>
    </row>
    <row r="146" ht="15.75" customHeight="1">
      <c r="A146" s="7"/>
      <c r="B146" s="7"/>
      <c r="C146" s="7"/>
    </row>
    <row r="147" ht="15.75" customHeight="1">
      <c r="A147" s="7"/>
      <c r="B147" s="7"/>
      <c r="C147" s="7"/>
    </row>
    <row r="148" ht="15.75" customHeight="1">
      <c r="A148" s="7"/>
      <c r="B148" s="7"/>
      <c r="C148" s="7"/>
    </row>
    <row r="149" ht="15.75" customHeight="1">
      <c r="A149" s="7"/>
      <c r="B149" s="7"/>
      <c r="C149" s="7"/>
    </row>
    <row r="150" ht="15.75" customHeight="1">
      <c r="A150" s="7"/>
      <c r="B150" s="7"/>
      <c r="C150" s="7"/>
    </row>
    <row r="151" ht="15.75" customHeight="1">
      <c r="A151" s="7"/>
      <c r="B151" s="7"/>
      <c r="C151" s="7"/>
    </row>
    <row r="152" ht="15.75" customHeight="1">
      <c r="A152" s="7"/>
      <c r="B152" s="7"/>
      <c r="C152" s="7"/>
    </row>
    <row r="153" ht="15.75" customHeight="1">
      <c r="A153" s="7"/>
      <c r="B153" s="7"/>
      <c r="C153" s="7"/>
    </row>
    <row r="154" ht="15.75" customHeight="1">
      <c r="A154" s="7"/>
      <c r="B154" s="7"/>
      <c r="C154" s="7"/>
    </row>
    <row r="155" ht="15.75" customHeight="1">
      <c r="A155" s="7"/>
      <c r="B155" s="7"/>
      <c r="C155" s="7"/>
    </row>
    <row r="156" ht="15.75" customHeight="1">
      <c r="A156" s="7"/>
      <c r="B156" s="7"/>
      <c r="C156" s="7"/>
    </row>
    <row r="157" ht="15.75" customHeight="1">
      <c r="A157" s="7"/>
      <c r="B157" s="7"/>
      <c r="C157" s="7"/>
    </row>
    <row r="158" ht="15.75" customHeight="1">
      <c r="A158" s="7"/>
      <c r="B158" s="7"/>
      <c r="C158" s="7"/>
    </row>
    <row r="159" ht="15.75" customHeight="1">
      <c r="A159" s="7"/>
      <c r="B159" s="7"/>
      <c r="C159" s="7"/>
    </row>
    <row r="160" ht="15.75" customHeight="1">
      <c r="A160" s="7"/>
      <c r="B160" s="7"/>
      <c r="C160" s="7"/>
    </row>
    <row r="161" ht="15.75" customHeight="1">
      <c r="A161" s="7"/>
      <c r="B161" s="7"/>
      <c r="C161" s="7"/>
    </row>
    <row r="162" ht="15.75" customHeight="1">
      <c r="A162" s="7"/>
      <c r="B162" s="7"/>
      <c r="C162" s="7"/>
    </row>
    <row r="163" ht="15.75" customHeight="1">
      <c r="A163" s="7"/>
      <c r="B163" s="7"/>
      <c r="C163" s="7"/>
    </row>
    <row r="164" ht="15.75" customHeight="1">
      <c r="A164" s="7"/>
      <c r="B164" s="7"/>
      <c r="C164" s="7"/>
    </row>
    <row r="165" ht="15.75" customHeight="1">
      <c r="A165" s="7"/>
      <c r="B165" s="7"/>
      <c r="C165" s="7"/>
    </row>
    <row r="166" ht="15.75" customHeight="1">
      <c r="A166" s="7"/>
      <c r="B166" s="7"/>
      <c r="C166" s="7"/>
    </row>
    <row r="167" ht="15.75" customHeight="1">
      <c r="A167" s="7"/>
      <c r="B167" s="7"/>
      <c r="C167" s="7"/>
    </row>
    <row r="168" ht="15.75" customHeight="1">
      <c r="A168" s="7"/>
      <c r="B168" s="7"/>
      <c r="C168" s="7"/>
    </row>
    <row r="169" ht="15.75" customHeight="1">
      <c r="A169" s="7"/>
      <c r="B169" s="7"/>
      <c r="C169" s="7"/>
    </row>
    <row r="170" ht="15.75" customHeight="1">
      <c r="A170" s="7"/>
      <c r="B170" s="7"/>
      <c r="C170" s="7"/>
    </row>
    <row r="171" ht="15.75" customHeight="1">
      <c r="A171" s="7"/>
      <c r="B171" s="7"/>
      <c r="C171" s="7"/>
    </row>
    <row r="172" ht="15.75" customHeight="1">
      <c r="A172" s="7"/>
      <c r="B172" s="7"/>
      <c r="C172" s="7"/>
    </row>
    <row r="173" ht="15.75" customHeight="1">
      <c r="A173" s="7"/>
      <c r="B173" s="7"/>
      <c r="C173" s="7"/>
    </row>
    <row r="174" ht="15.75" customHeight="1">
      <c r="A174" s="7"/>
      <c r="B174" s="7"/>
      <c r="C174" s="7"/>
    </row>
    <row r="175" ht="15.75" customHeight="1">
      <c r="A175" s="7"/>
      <c r="B175" s="7"/>
      <c r="C175" s="7"/>
    </row>
    <row r="176" ht="15.75" customHeight="1">
      <c r="A176" s="7"/>
      <c r="B176" s="7"/>
      <c r="C176" s="7"/>
    </row>
    <row r="177" ht="15.75" customHeight="1">
      <c r="A177" s="7"/>
      <c r="B177" s="7"/>
      <c r="C177" s="7"/>
    </row>
    <row r="178" ht="15.75" customHeight="1">
      <c r="A178" s="7"/>
      <c r="B178" s="7"/>
      <c r="C178" s="7"/>
    </row>
    <row r="179" ht="15.75" customHeight="1">
      <c r="A179" s="7"/>
      <c r="B179" s="7"/>
      <c r="C179" s="7"/>
    </row>
    <row r="180" ht="15.75" customHeight="1">
      <c r="A180" s="7"/>
      <c r="B180" s="7"/>
      <c r="C180" s="7"/>
    </row>
    <row r="181" ht="15.75" customHeight="1">
      <c r="A181" s="7"/>
      <c r="B181" s="7"/>
      <c r="C181" s="7"/>
    </row>
    <row r="182" ht="15.75" customHeight="1">
      <c r="A182" s="7"/>
      <c r="B182" s="7"/>
      <c r="C182" s="7"/>
    </row>
    <row r="183" ht="15.75" customHeight="1">
      <c r="A183" s="7"/>
      <c r="B183" s="7"/>
      <c r="C183" s="7"/>
    </row>
    <row r="184" ht="15.75" customHeight="1">
      <c r="A184" s="7"/>
      <c r="B184" s="7"/>
      <c r="C184" s="7"/>
    </row>
    <row r="185" ht="15.75" customHeight="1">
      <c r="A185" s="7"/>
      <c r="B185" s="7"/>
      <c r="C185" s="7"/>
    </row>
    <row r="186" ht="15.75" customHeight="1">
      <c r="A186" s="7"/>
      <c r="B186" s="7"/>
      <c r="C186" s="7"/>
    </row>
    <row r="187" ht="15.75" customHeight="1">
      <c r="A187" s="7"/>
      <c r="B187" s="7"/>
      <c r="C187" s="7"/>
    </row>
    <row r="188" ht="15.75" customHeight="1">
      <c r="A188" s="7"/>
      <c r="B188" s="7"/>
      <c r="C188" s="7"/>
    </row>
    <row r="189" ht="15.75" customHeight="1">
      <c r="A189" s="7"/>
      <c r="B189" s="7"/>
      <c r="C189" s="7"/>
    </row>
    <row r="190" ht="15.75" customHeight="1">
      <c r="A190" s="7"/>
      <c r="B190" s="7"/>
      <c r="C190" s="7"/>
    </row>
    <row r="191" ht="15.75" customHeight="1">
      <c r="A191" s="7"/>
      <c r="B191" s="7"/>
      <c r="C191" s="7"/>
    </row>
    <row r="192" ht="15.75" customHeight="1">
      <c r="A192" s="7"/>
      <c r="B192" s="7"/>
      <c r="C192" s="7"/>
    </row>
    <row r="193" ht="15.75" customHeight="1">
      <c r="A193" s="7"/>
      <c r="B193" s="7"/>
      <c r="C193" s="7"/>
    </row>
    <row r="194" ht="15.75" customHeight="1">
      <c r="A194" s="7"/>
      <c r="B194" s="7"/>
      <c r="C194" s="7"/>
    </row>
    <row r="195" ht="15.75" customHeight="1">
      <c r="A195" s="7"/>
      <c r="B195" s="7"/>
      <c r="C195" s="7"/>
    </row>
    <row r="196" ht="15.75" customHeight="1">
      <c r="A196" s="7"/>
      <c r="B196" s="7"/>
      <c r="C196" s="7"/>
    </row>
    <row r="197" ht="15.75" customHeight="1">
      <c r="A197" s="7"/>
      <c r="B197" s="7"/>
      <c r="C197" s="7"/>
    </row>
    <row r="198" ht="15.75" customHeight="1">
      <c r="A198" s="7"/>
      <c r="B198" s="7"/>
      <c r="C198" s="7"/>
    </row>
    <row r="199" ht="15.75" customHeight="1">
      <c r="A199" s="7"/>
      <c r="B199" s="7"/>
      <c r="C199" s="7"/>
    </row>
    <row r="200" ht="15.75" customHeight="1">
      <c r="A200" s="7"/>
      <c r="B200" s="7"/>
      <c r="C200" s="7"/>
    </row>
    <row r="201" ht="15.75" customHeight="1">
      <c r="A201" s="7"/>
      <c r="B201" s="7"/>
      <c r="C201" s="7"/>
    </row>
    <row r="202" ht="15.75" customHeight="1">
      <c r="A202" s="7"/>
      <c r="B202" s="7"/>
      <c r="C202" s="7"/>
    </row>
    <row r="203" ht="15.75" customHeight="1">
      <c r="A203" s="7"/>
      <c r="B203" s="7"/>
      <c r="C203" s="7"/>
    </row>
    <row r="204" ht="15.75" customHeight="1">
      <c r="A204" s="7"/>
      <c r="B204" s="7"/>
      <c r="C204" s="7"/>
    </row>
    <row r="205" ht="15.75" customHeight="1">
      <c r="A205" s="7"/>
      <c r="B205" s="7"/>
      <c r="C205" s="7"/>
    </row>
    <row r="206" ht="15.75" customHeight="1">
      <c r="A206" s="7"/>
      <c r="B206" s="7"/>
      <c r="C206" s="7"/>
    </row>
    <row r="207" ht="15.75" customHeight="1">
      <c r="A207" s="7"/>
      <c r="B207" s="7"/>
      <c r="C207" s="7"/>
    </row>
    <row r="208" ht="15.75" customHeight="1">
      <c r="A208" s="7"/>
      <c r="B208" s="7"/>
      <c r="C208" s="7"/>
    </row>
    <row r="209" ht="15.75" customHeight="1">
      <c r="A209" s="7"/>
      <c r="B209" s="7"/>
      <c r="C209" s="7"/>
    </row>
    <row r="210" ht="15.75" customHeight="1">
      <c r="A210" s="7"/>
      <c r="B210" s="7"/>
      <c r="C210" s="7"/>
    </row>
    <row r="211" ht="15.75" customHeight="1">
      <c r="A211" s="7"/>
      <c r="B211" s="7"/>
      <c r="C211" s="7"/>
    </row>
    <row r="212" ht="15.75" customHeight="1">
      <c r="A212" s="7"/>
      <c r="B212" s="7"/>
      <c r="C212" s="7"/>
    </row>
    <row r="213" ht="15.75" customHeight="1">
      <c r="A213" s="7"/>
      <c r="B213" s="7"/>
      <c r="C213" s="7"/>
    </row>
    <row r="214" ht="15.75" customHeight="1">
      <c r="A214" s="7"/>
      <c r="B214" s="7"/>
      <c r="C214" s="7"/>
    </row>
    <row r="215" ht="15.75" customHeight="1">
      <c r="A215" s="7"/>
      <c r="B215" s="7"/>
      <c r="C215" s="7"/>
    </row>
    <row r="216" ht="15.75" customHeight="1">
      <c r="A216" s="7"/>
      <c r="B216" s="7"/>
      <c r="C216" s="7"/>
    </row>
    <row r="217" ht="15.75" customHeight="1">
      <c r="A217" s="7"/>
      <c r="B217" s="7"/>
      <c r="C217" s="7"/>
    </row>
    <row r="218" ht="15.75" customHeight="1">
      <c r="A218" s="7"/>
      <c r="B218" s="7"/>
      <c r="C218" s="7"/>
    </row>
    <row r="219" ht="15.75" customHeight="1">
      <c r="A219" s="7"/>
      <c r="B219" s="7"/>
      <c r="C219" s="7"/>
    </row>
    <row r="220" ht="15.75" customHeight="1">
      <c r="A220" s="7"/>
      <c r="B220" s="7"/>
      <c r="C220" s="7"/>
    </row>
    <row r="221" ht="15.75" customHeight="1">
      <c r="A221" s="7"/>
      <c r="B221" s="7"/>
      <c r="C221" s="7"/>
    </row>
    <row r="222" ht="15.75" customHeight="1">
      <c r="A222" s="7"/>
      <c r="B222" s="7"/>
      <c r="C222" s="7"/>
    </row>
    <row r="223" ht="15.75" customHeight="1">
      <c r="A223" s="7"/>
      <c r="B223" s="7"/>
      <c r="C223" s="7"/>
    </row>
    <row r="224" ht="15.75" customHeight="1">
      <c r="A224" s="7"/>
      <c r="B224" s="7"/>
      <c r="C224" s="7"/>
    </row>
    <row r="225" ht="15.75" customHeight="1">
      <c r="A225" s="7"/>
      <c r="B225" s="7"/>
      <c r="C225" s="7"/>
    </row>
    <row r="226" ht="15.75" customHeight="1">
      <c r="A226" s="7"/>
      <c r="B226" s="7"/>
      <c r="C226" s="7"/>
    </row>
    <row r="227" ht="15.75" customHeight="1">
      <c r="A227" s="7"/>
      <c r="B227" s="7"/>
      <c r="C227" s="7"/>
    </row>
    <row r="228" ht="15.75" customHeight="1">
      <c r="A228" s="7"/>
      <c r="B228" s="7"/>
      <c r="C228" s="7"/>
    </row>
    <row r="229" ht="15.75" customHeight="1">
      <c r="A229" s="7"/>
      <c r="B229" s="7"/>
      <c r="C229" s="7"/>
    </row>
    <row r="230" ht="15.75" customHeight="1">
      <c r="A230" s="7"/>
      <c r="B230" s="7"/>
      <c r="C230" s="7"/>
    </row>
    <row r="231" ht="15.75" customHeight="1">
      <c r="A231" s="7"/>
      <c r="B231" s="7"/>
      <c r="C231" s="7"/>
    </row>
    <row r="232" ht="15.75" customHeight="1">
      <c r="A232" s="7"/>
      <c r="B232" s="7"/>
      <c r="C232" s="7"/>
    </row>
    <row r="233" ht="15.75" customHeight="1">
      <c r="A233" s="7"/>
      <c r="B233" s="7"/>
      <c r="C233" s="7"/>
    </row>
    <row r="234" ht="15.75" customHeight="1">
      <c r="A234" s="7"/>
      <c r="B234" s="7"/>
      <c r="C234" s="7"/>
    </row>
    <row r="235" ht="15.75" customHeight="1">
      <c r="A235" s="7"/>
      <c r="B235" s="7"/>
      <c r="C235" s="7"/>
    </row>
    <row r="236" ht="15.75" customHeight="1">
      <c r="A236" s="7"/>
      <c r="B236" s="7"/>
      <c r="C236" s="7"/>
    </row>
    <row r="237" ht="15.75" customHeight="1">
      <c r="A237" s="7"/>
      <c r="B237" s="7"/>
      <c r="C237" s="7"/>
    </row>
    <row r="238" ht="15.75" customHeight="1">
      <c r="A238" s="7"/>
      <c r="B238" s="7"/>
      <c r="C238" s="7"/>
    </row>
    <row r="239" ht="15.75" customHeight="1">
      <c r="A239" s="7"/>
      <c r="B239" s="7"/>
      <c r="C239" s="7"/>
    </row>
    <row r="240" ht="15.75" customHeight="1">
      <c r="A240" s="7"/>
      <c r="B240" s="7"/>
      <c r="C240" s="7"/>
    </row>
    <row r="241" ht="15.75" customHeight="1">
      <c r="A241" s="7"/>
      <c r="B241" s="7"/>
      <c r="C241" s="7"/>
    </row>
    <row r="242" ht="15.75" customHeight="1">
      <c r="A242" s="7"/>
      <c r="B242" s="7"/>
      <c r="C242" s="7"/>
    </row>
    <row r="243" ht="15.75" customHeight="1">
      <c r="A243" s="7"/>
      <c r="B243" s="7"/>
      <c r="C243" s="7"/>
    </row>
    <row r="244" ht="15.75" customHeight="1">
      <c r="A244" s="7"/>
      <c r="B244" s="7"/>
      <c r="C244" s="7"/>
    </row>
    <row r="245" ht="15.75" customHeight="1">
      <c r="A245" s="7"/>
      <c r="B245" s="7"/>
      <c r="C245" s="7"/>
    </row>
    <row r="246" ht="15.75" customHeight="1">
      <c r="A246" s="7"/>
      <c r="B246" s="7"/>
      <c r="C246" s="7"/>
    </row>
    <row r="247" ht="15.75" customHeight="1">
      <c r="A247" s="7"/>
      <c r="B247" s="7"/>
      <c r="C247" s="7"/>
    </row>
    <row r="248" ht="15.75" customHeight="1">
      <c r="A248" s="7"/>
      <c r="B248" s="7"/>
      <c r="C248" s="7"/>
    </row>
    <row r="249" ht="15.75" customHeight="1">
      <c r="A249" s="7"/>
      <c r="B249" s="7"/>
      <c r="C249" s="7"/>
    </row>
    <row r="250" ht="15.75" customHeight="1">
      <c r="A250" s="7"/>
      <c r="B250" s="7"/>
      <c r="C250" s="7"/>
    </row>
    <row r="251" ht="15.75" customHeight="1">
      <c r="A251" s="7"/>
      <c r="B251" s="7"/>
      <c r="C251" s="7"/>
    </row>
    <row r="252" ht="15.75" customHeight="1">
      <c r="A252" s="7"/>
      <c r="B252" s="7"/>
      <c r="C252" s="7"/>
    </row>
    <row r="253" ht="15.75" customHeight="1">
      <c r="A253" s="7"/>
      <c r="B253" s="7"/>
      <c r="C253" s="7"/>
    </row>
    <row r="254" ht="15.75" customHeight="1">
      <c r="A254" s="7"/>
      <c r="B254" s="7"/>
      <c r="C254" s="7"/>
    </row>
    <row r="255" ht="15.75" customHeight="1">
      <c r="A255" s="7"/>
      <c r="B255" s="7"/>
      <c r="C255" s="7"/>
    </row>
    <row r="256" ht="15.75" customHeight="1">
      <c r="A256" s="7"/>
      <c r="B256" s="7"/>
      <c r="C256" s="7"/>
    </row>
    <row r="257" ht="15.75" customHeight="1">
      <c r="A257" s="7"/>
      <c r="B257" s="7"/>
      <c r="C257" s="7"/>
    </row>
    <row r="258" ht="15.75" customHeight="1">
      <c r="A258" s="7"/>
      <c r="B258" s="7"/>
      <c r="C258" s="7"/>
    </row>
    <row r="259" ht="15.75" customHeight="1">
      <c r="A259" s="7"/>
      <c r="B259" s="7"/>
      <c r="C259" s="7"/>
    </row>
    <row r="260" ht="15.75" customHeight="1">
      <c r="A260" s="7"/>
      <c r="B260" s="7"/>
      <c r="C260" s="7"/>
    </row>
    <row r="261" ht="15.75" customHeight="1">
      <c r="A261" s="7"/>
      <c r="B261" s="7"/>
      <c r="C261" s="7"/>
    </row>
    <row r="262" ht="15.75" customHeight="1">
      <c r="A262" s="7"/>
      <c r="B262" s="7"/>
      <c r="C262" s="7"/>
    </row>
    <row r="263" ht="15.75" customHeight="1">
      <c r="A263" s="7"/>
      <c r="B263" s="7"/>
      <c r="C263" s="7"/>
    </row>
    <row r="264" ht="15.75" customHeight="1">
      <c r="A264" s="7"/>
      <c r="B264" s="7"/>
      <c r="C264" s="7"/>
    </row>
    <row r="265" ht="15.75" customHeight="1">
      <c r="A265" s="7"/>
      <c r="B265" s="7"/>
      <c r="C265" s="7"/>
    </row>
    <row r="266" ht="15.75" customHeight="1">
      <c r="A266" s="7"/>
      <c r="B266" s="7"/>
      <c r="C266" s="7"/>
    </row>
    <row r="267" ht="15.75" customHeight="1">
      <c r="A267" s="7"/>
      <c r="B267" s="7"/>
      <c r="C267" s="7"/>
    </row>
    <row r="268" ht="15.75" customHeight="1">
      <c r="A268" s="7"/>
      <c r="B268" s="7"/>
      <c r="C268" s="7"/>
    </row>
    <row r="269" ht="15.75" customHeight="1">
      <c r="A269" s="7"/>
      <c r="B269" s="7"/>
      <c r="C269" s="7"/>
    </row>
    <row r="270" ht="15.75" customHeight="1">
      <c r="A270" s="7"/>
      <c r="B270" s="7"/>
      <c r="C270" s="7"/>
    </row>
    <row r="271" ht="15.75" customHeight="1">
      <c r="A271" s="7"/>
      <c r="B271" s="7"/>
      <c r="C271" s="7"/>
    </row>
    <row r="272" ht="15.75" customHeight="1">
      <c r="A272" s="7"/>
      <c r="B272" s="7"/>
      <c r="C272" s="7"/>
    </row>
    <row r="273" ht="15.75" customHeight="1">
      <c r="A273" s="7"/>
      <c r="B273" s="7"/>
      <c r="C273" s="7"/>
    </row>
    <row r="274" ht="15.75" customHeight="1">
      <c r="A274" s="7"/>
      <c r="B274" s="7"/>
      <c r="C274" s="7"/>
    </row>
    <row r="275" ht="15.75" customHeight="1">
      <c r="A275" s="7"/>
      <c r="B275" s="7"/>
      <c r="C275" s="7"/>
    </row>
    <row r="276" ht="15.75" customHeight="1">
      <c r="A276" s="7"/>
      <c r="B276" s="7"/>
      <c r="C276" s="7"/>
    </row>
    <row r="277" ht="15.75" customHeight="1">
      <c r="A277" s="7"/>
      <c r="B277" s="7"/>
      <c r="C277" s="7"/>
    </row>
    <row r="278" ht="15.75" customHeight="1">
      <c r="A278" s="7"/>
      <c r="B278" s="7"/>
      <c r="C278" s="7"/>
    </row>
    <row r="279" ht="15.75" customHeight="1">
      <c r="A279" s="7"/>
      <c r="B279" s="7"/>
      <c r="C279" s="7"/>
    </row>
    <row r="280" ht="15.75" customHeight="1">
      <c r="A280" s="7"/>
      <c r="B280" s="7"/>
      <c r="C280" s="7"/>
    </row>
    <row r="281" ht="15.75" customHeight="1">
      <c r="A281" s="7"/>
      <c r="B281" s="7"/>
      <c r="C281" s="7"/>
    </row>
    <row r="282" ht="15.75" customHeight="1">
      <c r="A282" s="7"/>
      <c r="B282" s="7"/>
      <c r="C282" s="7"/>
    </row>
    <row r="283" ht="15.75" customHeight="1">
      <c r="A283" s="7"/>
      <c r="B283" s="7"/>
      <c r="C283" s="7"/>
    </row>
    <row r="284" ht="15.75" customHeight="1">
      <c r="A284" s="7"/>
      <c r="B284" s="7"/>
      <c r="C284" s="7"/>
    </row>
    <row r="285" ht="15.75" customHeight="1">
      <c r="A285" s="7"/>
      <c r="B285" s="7"/>
      <c r="C285" s="7"/>
    </row>
    <row r="286" ht="15.75" customHeight="1">
      <c r="A286" s="7"/>
      <c r="B286" s="7"/>
      <c r="C286" s="7"/>
    </row>
    <row r="287" ht="15.75" customHeight="1">
      <c r="A287" s="7"/>
      <c r="B287" s="7"/>
      <c r="C287" s="7"/>
    </row>
    <row r="288" ht="15.75" customHeight="1">
      <c r="A288" s="7"/>
      <c r="B288" s="7"/>
      <c r="C288" s="7"/>
    </row>
    <row r="289" ht="15.75" customHeight="1">
      <c r="A289" s="7"/>
      <c r="B289" s="7"/>
      <c r="C289" s="7"/>
    </row>
    <row r="290" ht="15.75" customHeight="1">
      <c r="A290" s="7"/>
      <c r="B290" s="7"/>
      <c r="C290" s="7"/>
    </row>
    <row r="291" ht="15.75" customHeight="1">
      <c r="A291" s="7"/>
      <c r="B291" s="7"/>
      <c r="C291" s="7"/>
    </row>
    <row r="292" ht="15.75" customHeight="1">
      <c r="A292" s="7"/>
      <c r="B292" s="7"/>
      <c r="C292" s="7"/>
    </row>
    <row r="293" ht="15.75" customHeight="1">
      <c r="A293" s="7"/>
      <c r="B293" s="7"/>
      <c r="C293" s="7"/>
    </row>
    <row r="294" ht="15.75" customHeight="1">
      <c r="A294" s="7"/>
      <c r="B294" s="7"/>
      <c r="C294" s="7"/>
    </row>
    <row r="295" ht="15.75" customHeight="1">
      <c r="A295" s="7"/>
      <c r="B295" s="7"/>
      <c r="C295" s="7"/>
    </row>
    <row r="296" ht="15.75" customHeight="1">
      <c r="A296" s="7"/>
      <c r="B296" s="7"/>
      <c r="C296" s="7"/>
    </row>
    <row r="297" ht="15.75" customHeight="1">
      <c r="A297" s="7"/>
      <c r="B297" s="7"/>
      <c r="C297" s="7"/>
    </row>
    <row r="298" ht="15.75" customHeight="1">
      <c r="A298" s="7"/>
      <c r="B298" s="7"/>
      <c r="C298" s="7"/>
    </row>
    <row r="299" ht="15.75" customHeight="1">
      <c r="A299" s="7"/>
      <c r="B299" s="7"/>
      <c r="C299" s="7"/>
    </row>
    <row r="300" ht="15.75" customHeight="1">
      <c r="A300" s="7"/>
      <c r="B300" s="7"/>
      <c r="C300" s="7"/>
    </row>
    <row r="301" ht="15.75" customHeight="1">
      <c r="A301" s="7"/>
      <c r="B301" s="7"/>
      <c r="C301" s="7"/>
    </row>
    <row r="302" ht="15.75" customHeight="1">
      <c r="A302" s="7"/>
      <c r="B302" s="7"/>
      <c r="C302" s="7"/>
    </row>
    <row r="303" ht="15.75" customHeight="1">
      <c r="A303" s="7"/>
      <c r="B303" s="7"/>
      <c r="C303" s="7"/>
    </row>
    <row r="304" ht="15.75" customHeight="1">
      <c r="A304" s="7"/>
      <c r="B304" s="7"/>
      <c r="C304" s="7"/>
    </row>
    <row r="305" ht="15.75" customHeight="1">
      <c r="A305" s="7"/>
      <c r="B305" s="7"/>
      <c r="C305" s="7"/>
    </row>
    <row r="306" ht="15.75" customHeight="1">
      <c r="A306" s="7"/>
      <c r="B306" s="7"/>
      <c r="C306" s="7"/>
    </row>
    <row r="307" ht="15.75" customHeight="1">
      <c r="A307" s="7"/>
      <c r="B307" s="7"/>
      <c r="C307" s="7"/>
    </row>
    <row r="308" ht="15.75" customHeight="1">
      <c r="A308" s="7"/>
      <c r="B308" s="7"/>
      <c r="C308" s="7"/>
    </row>
    <row r="309" ht="15.75" customHeight="1">
      <c r="A309" s="7"/>
      <c r="B309" s="7"/>
      <c r="C309" s="7"/>
    </row>
    <row r="310" ht="15.75" customHeight="1">
      <c r="A310" s="7"/>
      <c r="B310" s="7"/>
      <c r="C310" s="7"/>
    </row>
    <row r="311" ht="15.75" customHeight="1">
      <c r="A311" s="7"/>
      <c r="B311" s="7"/>
      <c r="C311" s="7"/>
    </row>
    <row r="312" ht="15.75" customHeight="1">
      <c r="A312" s="7"/>
      <c r="B312" s="7"/>
      <c r="C312" s="7"/>
    </row>
    <row r="313" ht="15.75" customHeight="1">
      <c r="A313" s="7"/>
      <c r="B313" s="7"/>
      <c r="C313" s="7"/>
    </row>
    <row r="314" ht="15.75" customHeight="1">
      <c r="A314" s="7"/>
      <c r="B314" s="7"/>
      <c r="C314" s="7"/>
    </row>
    <row r="315" ht="15.75" customHeight="1">
      <c r="A315" s="7"/>
      <c r="B315" s="7"/>
      <c r="C315" s="7"/>
    </row>
    <row r="316" ht="15.75" customHeight="1">
      <c r="A316" s="7"/>
      <c r="B316" s="7"/>
      <c r="C316" s="7"/>
    </row>
    <row r="317" ht="15.75" customHeight="1">
      <c r="A317" s="7"/>
      <c r="B317" s="7"/>
      <c r="C317" s="7"/>
    </row>
    <row r="318" ht="15.75" customHeight="1">
      <c r="A318" s="7"/>
      <c r="B318" s="7"/>
      <c r="C318" s="7"/>
    </row>
    <row r="319" ht="15.75" customHeight="1">
      <c r="A319" s="7"/>
      <c r="B319" s="7"/>
      <c r="C319" s="7"/>
    </row>
    <row r="320" ht="15.75" customHeight="1">
      <c r="A320" s="7"/>
      <c r="B320" s="7"/>
      <c r="C320" s="7"/>
    </row>
    <row r="321" ht="15.75" customHeight="1">
      <c r="A321" s="7"/>
      <c r="B321" s="7"/>
      <c r="C321" s="7"/>
    </row>
    <row r="322" ht="15.75" customHeight="1">
      <c r="A322" s="7"/>
      <c r="B322" s="7"/>
      <c r="C322" s="7"/>
    </row>
    <row r="323" ht="15.75" customHeight="1">
      <c r="A323" s="7"/>
      <c r="B323" s="7"/>
      <c r="C323" s="7"/>
    </row>
    <row r="324" ht="15.75" customHeight="1">
      <c r="A324" s="7"/>
      <c r="B324" s="7"/>
      <c r="C324" s="7"/>
    </row>
    <row r="325" ht="15.75" customHeight="1">
      <c r="A325" s="7"/>
      <c r="B325" s="7"/>
      <c r="C325" s="7"/>
    </row>
    <row r="326" ht="15.75" customHeight="1">
      <c r="A326" s="7"/>
      <c r="B326" s="7"/>
      <c r="C326" s="7"/>
    </row>
    <row r="327" ht="15.75" customHeight="1">
      <c r="A327" s="7"/>
      <c r="B327" s="7"/>
      <c r="C327" s="7"/>
    </row>
    <row r="328" ht="15.75" customHeight="1">
      <c r="A328" s="7"/>
      <c r="B328" s="7"/>
      <c r="C328" s="7"/>
    </row>
    <row r="329" ht="15.75" customHeight="1">
      <c r="A329" s="7"/>
      <c r="B329" s="7"/>
      <c r="C329" s="7"/>
    </row>
    <row r="330" ht="15.75" customHeight="1">
      <c r="A330" s="7"/>
      <c r="B330" s="7"/>
      <c r="C330" s="7"/>
    </row>
    <row r="331" ht="15.75" customHeight="1">
      <c r="A331" s="7"/>
      <c r="B331" s="7"/>
      <c r="C331" s="7"/>
    </row>
    <row r="332" ht="15.75" customHeight="1">
      <c r="A332" s="7"/>
      <c r="B332" s="7"/>
      <c r="C332" s="7"/>
    </row>
    <row r="333" ht="15.75" customHeight="1">
      <c r="A333" s="7"/>
      <c r="B333" s="7"/>
      <c r="C333" s="7"/>
    </row>
    <row r="334" ht="15.75" customHeight="1">
      <c r="A334" s="7"/>
      <c r="B334" s="7"/>
      <c r="C334" s="7"/>
    </row>
    <row r="335" ht="15.75" customHeight="1">
      <c r="A335" s="7"/>
      <c r="B335" s="7"/>
      <c r="C335" s="7"/>
    </row>
    <row r="336" ht="15.75" customHeight="1">
      <c r="A336" s="7"/>
      <c r="B336" s="7"/>
      <c r="C336" s="7"/>
    </row>
    <row r="337" ht="15.75" customHeight="1">
      <c r="A337" s="7"/>
      <c r="B337" s="7"/>
      <c r="C337" s="7"/>
    </row>
    <row r="338" ht="15.75" customHeight="1">
      <c r="A338" s="7"/>
      <c r="B338" s="7"/>
      <c r="C338" s="7"/>
    </row>
    <row r="339" ht="15.75" customHeight="1">
      <c r="A339" s="7"/>
      <c r="B339" s="7"/>
      <c r="C339" s="7"/>
    </row>
    <row r="340" ht="15.75" customHeight="1">
      <c r="A340" s="7"/>
      <c r="B340" s="7"/>
      <c r="C340" s="7"/>
    </row>
    <row r="341" ht="15.75" customHeight="1">
      <c r="A341" s="7"/>
      <c r="B341" s="7"/>
      <c r="C341" s="7"/>
    </row>
    <row r="342" ht="15.75" customHeight="1">
      <c r="A342" s="7"/>
      <c r="B342" s="7"/>
      <c r="C342" s="7"/>
    </row>
    <row r="343" ht="15.75" customHeight="1">
      <c r="A343" s="7"/>
      <c r="B343" s="7"/>
      <c r="C343" s="7"/>
    </row>
    <row r="344" ht="15.75" customHeight="1">
      <c r="A344" s="7"/>
      <c r="B344" s="7"/>
      <c r="C344" s="7"/>
    </row>
    <row r="345" ht="15.75" customHeight="1">
      <c r="A345" s="7"/>
      <c r="B345" s="7"/>
      <c r="C345" s="7"/>
    </row>
    <row r="346" ht="15.75" customHeight="1">
      <c r="A346" s="7"/>
      <c r="B346" s="7"/>
      <c r="C346" s="7"/>
    </row>
    <row r="347" ht="15.75" customHeight="1">
      <c r="A347" s="7"/>
      <c r="B347" s="7"/>
      <c r="C347" s="7"/>
    </row>
    <row r="348" ht="15.75" customHeight="1">
      <c r="A348" s="7"/>
      <c r="B348" s="7"/>
      <c r="C348" s="7"/>
    </row>
    <row r="349" ht="15.75" customHeight="1">
      <c r="A349" s="7"/>
      <c r="B349" s="7"/>
      <c r="C349" s="7"/>
    </row>
    <row r="350" ht="15.75" customHeight="1">
      <c r="A350" s="7"/>
      <c r="B350" s="7"/>
      <c r="C350" s="7"/>
    </row>
    <row r="351" ht="15.75" customHeight="1">
      <c r="A351" s="7"/>
      <c r="B351" s="7"/>
      <c r="C351" s="7"/>
    </row>
    <row r="352" ht="15.75" customHeight="1">
      <c r="A352" s="7"/>
      <c r="B352" s="7"/>
      <c r="C352" s="7"/>
    </row>
    <row r="353" ht="15.75" customHeight="1">
      <c r="A353" s="7"/>
      <c r="B353" s="7"/>
      <c r="C353" s="7"/>
    </row>
    <row r="354" ht="15.75" customHeight="1">
      <c r="A354" s="7"/>
      <c r="B354" s="7"/>
      <c r="C354" s="7"/>
    </row>
    <row r="355" ht="15.75" customHeight="1">
      <c r="A355" s="7"/>
      <c r="B355" s="7"/>
      <c r="C355" s="7"/>
    </row>
    <row r="356" ht="15.75" customHeight="1">
      <c r="A356" s="7"/>
      <c r="B356" s="7"/>
      <c r="C356" s="7"/>
    </row>
    <row r="357" ht="15.75" customHeight="1">
      <c r="A357" s="7"/>
      <c r="B357" s="7"/>
      <c r="C357" s="7"/>
    </row>
    <row r="358" ht="15.75" customHeight="1">
      <c r="A358" s="7"/>
      <c r="B358" s="7"/>
      <c r="C358" s="7"/>
    </row>
    <row r="359" ht="15.75" customHeight="1">
      <c r="A359" s="7"/>
      <c r="B359" s="7"/>
      <c r="C359" s="7"/>
    </row>
    <row r="360" ht="15.75" customHeight="1">
      <c r="A360" s="7"/>
      <c r="B360" s="7"/>
      <c r="C360" s="7"/>
    </row>
    <row r="361" ht="15.75" customHeight="1">
      <c r="A361" s="7"/>
      <c r="B361" s="7"/>
      <c r="C361" s="7"/>
    </row>
    <row r="362" ht="15.75" customHeight="1">
      <c r="A362" s="7"/>
      <c r="B362" s="7"/>
      <c r="C362" s="7"/>
    </row>
    <row r="363" ht="15.75" customHeight="1">
      <c r="A363" s="7"/>
      <c r="B363" s="7"/>
      <c r="C363" s="7"/>
    </row>
    <row r="364" ht="15.75" customHeight="1">
      <c r="A364" s="7"/>
      <c r="B364" s="7"/>
      <c r="C364" s="7"/>
    </row>
    <row r="365" ht="15.75" customHeight="1">
      <c r="A365" s="7"/>
      <c r="B365" s="7"/>
      <c r="C365" s="7"/>
    </row>
    <row r="366" ht="15.75" customHeight="1">
      <c r="A366" s="7"/>
      <c r="B366" s="7"/>
      <c r="C366" s="7"/>
    </row>
    <row r="367" ht="15.75" customHeight="1">
      <c r="A367" s="7"/>
      <c r="B367" s="7"/>
      <c r="C367" s="7"/>
    </row>
    <row r="368" ht="15.75" customHeight="1">
      <c r="A368" s="7"/>
      <c r="B368" s="7"/>
      <c r="C368" s="7"/>
    </row>
    <row r="369" ht="15.75" customHeight="1">
      <c r="A369" s="7"/>
      <c r="B369" s="7"/>
      <c r="C369" s="7"/>
    </row>
    <row r="370" ht="15.75" customHeight="1">
      <c r="A370" s="7"/>
      <c r="B370" s="7"/>
      <c r="C370" s="7"/>
    </row>
    <row r="371" ht="15.75" customHeight="1">
      <c r="A371" s="7"/>
      <c r="B371" s="7"/>
      <c r="C371" s="7"/>
    </row>
    <row r="372" ht="15.75" customHeight="1">
      <c r="A372" s="7"/>
      <c r="B372" s="7"/>
      <c r="C372" s="7"/>
    </row>
    <row r="373" ht="15.75" customHeight="1">
      <c r="A373" s="7"/>
      <c r="B373" s="7"/>
      <c r="C373" s="7"/>
    </row>
    <row r="374" ht="15.75" customHeight="1">
      <c r="A374" s="7"/>
      <c r="B374" s="7"/>
      <c r="C374" s="7"/>
    </row>
    <row r="375" ht="15.75" customHeight="1">
      <c r="A375" s="7"/>
      <c r="B375" s="7"/>
      <c r="C375" s="7"/>
    </row>
    <row r="376" ht="15.75" customHeight="1">
      <c r="A376" s="7"/>
      <c r="B376" s="7"/>
      <c r="C376" s="7"/>
    </row>
    <row r="377" ht="15.75" customHeight="1">
      <c r="A377" s="7"/>
      <c r="B377" s="7"/>
      <c r="C377" s="7"/>
    </row>
    <row r="378" ht="15.75" customHeight="1">
      <c r="A378" s="7"/>
      <c r="B378" s="7"/>
      <c r="C378" s="7"/>
    </row>
    <row r="379" ht="15.75" customHeight="1">
      <c r="A379" s="7"/>
      <c r="B379" s="7"/>
      <c r="C379" s="7"/>
    </row>
    <row r="380" ht="15.75" customHeight="1">
      <c r="A380" s="7"/>
      <c r="B380" s="7"/>
      <c r="C380" s="7"/>
    </row>
    <row r="381" ht="15.75" customHeight="1">
      <c r="A381" s="7"/>
      <c r="B381" s="7"/>
      <c r="C381" s="7"/>
    </row>
    <row r="382" ht="15.75" customHeight="1">
      <c r="A382" s="7"/>
      <c r="B382" s="7"/>
      <c r="C382" s="7"/>
    </row>
    <row r="383" ht="15.75" customHeight="1">
      <c r="A383" s="7"/>
      <c r="B383" s="7"/>
      <c r="C383" s="7"/>
    </row>
    <row r="384" ht="15.75" customHeight="1">
      <c r="A384" s="7"/>
      <c r="B384" s="7"/>
      <c r="C384" s="7"/>
    </row>
    <row r="385" ht="15.75" customHeight="1">
      <c r="A385" s="7"/>
      <c r="B385" s="7"/>
      <c r="C385" s="7"/>
    </row>
    <row r="386" ht="15.75" customHeight="1">
      <c r="A386" s="7"/>
      <c r="B386" s="7"/>
      <c r="C386" s="7"/>
    </row>
    <row r="387" ht="15.75" customHeight="1">
      <c r="A387" s="7"/>
      <c r="B387" s="7"/>
      <c r="C387" s="7"/>
    </row>
    <row r="388" ht="15.75" customHeight="1">
      <c r="A388" s="7"/>
      <c r="B388" s="7"/>
      <c r="C388" s="7"/>
    </row>
    <row r="389" ht="15.75" customHeight="1">
      <c r="A389" s="7"/>
      <c r="B389" s="7"/>
      <c r="C389" s="7"/>
    </row>
    <row r="390" ht="15.75" customHeight="1">
      <c r="A390" s="7"/>
      <c r="B390" s="7"/>
      <c r="C390" s="7"/>
    </row>
    <row r="391" ht="15.75" customHeight="1">
      <c r="A391" s="7"/>
      <c r="B391" s="7"/>
      <c r="C391" s="7"/>
    </row>
    <row r="392" ht="15.75" customHeight="1">
      <c r="A392" s="7"/>
      <c r="B392" s="7"/>
      <c r="C392" s="7"/>
    </row>
    <row r="393" ht="15.75" customHeight="1">
      <c r="A393" s="7"/>
      <c r="B393" s="7"/>
      <c r="C393" s="7"/>
    </row>
    <row r="394" ht="15.75" customHeight="1">
      <c r="A394" s="7"/>
      <c r="B394" s="7"/>
      <c r="C394" s="7"/>
    </row>
    <row r="395" ht="15.75" customHeight="1">
      <c r="A395" s="7"/>
      <c r="B395" s="7"/>
      <c r="C395" s="7"/>
    </row>
    <row r="396" ht="15.75" customHeight="1">
      <c r="A396" s="7"/>
      <c r="B396" s="7"/>
      <c r="C396" s="7"/>
    </row>
    <row r="397" ht="15.75" customHeight="1">
      <c r="A397" s="7"/>
      <c r="B397" s="7"/>
      <c r="C397" s="7"/>
    </row>
    <row r="398" ht="15.75" customHeight="1">
      <c r="A398" s="7"/>
      <c r="B398" s="7"/>
      <c r="C398" s="7"/>
    </row>
    <row r="399" ht="15.75" customHeight="1">
      <c r="A399" s="7"/>
      <c r="B399" s="7"/>
      <c r="C399" s="7"/>
    </row>
    <row r="400" ht="15.75" customHeight="1">
      <c r="A400" s="7"/>
      <c r="B400" s="7"/>
      <c r="C400" s="7"/>
    </row>
    <row r="401" ht="15.75" customHeight="1">
      <c r="A401" s="7"/>
      <c r="B401" s="7"/>
      <c r="C401" s="7"/>
    </row>
    <row r="402" ht="15.75" customHeight="1">
      <c r="A402" s="7"/>
      <c r="B402" s="7"/>
      <c r="C402" s="7"/>
    </row>
    <row r="403" ht="15.75" customHeight="1">
      <c r="A403" s="7"/>
      <c r="B403" s="7"/>
      <c r="C403" s="7"/>
    </row>
    <row r="404" ht="15.75" customHeight="1">
      <c r="A404" s="7"/>
      <c r="B404" s="7"/>
      <c r="C404" s="7"/>
    </row>
    <row r="405" ht="15.75" customHeight="1">
      <c r="A405" s="7"/>
      <c r="B405" s="7"/>
      <c r="C405" s="7"/>
    </row>
    <row r="406" ht="15.75" customHeight="1">
      <c r="A406" s="7"/>
      <c r="B406" s="7"/>
      <c r="C406" s="7"/>
    </row>
    <row r="407" ht="15.75" customHeight="1">
      <c r="A407" s="7"/>
      <c r="B407" s="7"/>
      <c r="C407" s="7"/>
    </row>
    <row r="408" ht="15.75" customHeight="1">
      <c r="A408" s="7"/>
      <c r="B408" s="7"/>
      <c r="C408" s="7"/>
    </row>
    <row r="409" ht="15.75" customHeight="1">
      <c r="A409" s="7"/>
      <c r="B409" s="7"/>
      <c r="C409" s="7"/>
    </row>
    <row r="410" ht="15.75" customHeight="1">
      <c r="A410" s="7"/>
      <c r="B410" s="7"/>
      <c r="C410" s="7"/>
    </row>
    <row r="411" ht="15.75" customHeight="1">
      <c r="A411" s="7"/>
      <c r="B411" s="7"/>
      <c r="C411" s="7"/>
    </row>
    <row r="412" ht="15.75" customHeight="1">
      <c r="A412" s="7"/>
      <c r="B412" s="7"/>
      <c r="C412" s="7"/>
    </row>
    <row r="413" ht="15.75" customHeight="1">
      <c r="A413" s="7"/>
      <c r="B413" s="7"/>
      <c r="C413" s="7"/>
    </row>
    <row r="414" ht="15.75" customHeight="1">
      <c r="A414" s="7"/>
      <c r="B414" s="7"/>
      <c r="C414" s="7"/>
    </row>
    <row r="415" ht="15.75" customHeight="1">
      <c r="A415" s="7"/>
      <c r="B415" s="7"/>
      <c r="C415" s="7"/>
    </row>
    <row r="416" ht="15.75" customHeight="1">
      <c r="A416" s="7"/>
      <c r="B416" s="7"/>
      <c r="C416" s="7"/>
    </row>
    <row r="417" ht="15.75" customHeight="1">
      <c r="A417" s="7"/>
      <c r="B417" s="7"/>
      <c r="C417" s="7"/>
    </row>
    <row r="418" ht="15.75" customHeight="1">
      <c r="A418" s="7"/>
      <c r="B418" s="7"/>
      <c r="C418" s="7"/>
    </row>
    <row r="419" ht="15.75" customHeight="1">
      <c r="A419" s="7"/>
      <c r="B419" s="7"/>
      <c r="C419" s="7"/>
    </row>
    <row r="420" ht="15.75" customHeight="1">
      <c r="A420" s="7"/>
      <c r="B420" s="7"/>
      <c r="C420" s="7"/>
    </row>
    <row r="421" ht="15.75" customHeight="1">
      <c r="A421" s="7"/>
      <c r="B421" s="7"/>
      <c r="C421" s="7"/>
    </row>
    <row r="422" ht="15.75" customHeight="1">
      <c r="A422" s="7"/>
      <c r="B422" s="7"/>
      <c r="C422" s="7"/>
    </row>
    <row r="423" ht="15.75" customHeight="1">
      <c r="A423" s="7"/>
      <c r="B423" s="7"/>
      <c r="C423" s="7"/>
    </row>
    <row r="424" ht="15.75" customHeight="1">
      <c r="A424" s="7"/>
      <c r="B424" s="7"/>
      <c r="C424" s="7"/>
    </row>
    <row r="425" ht="15.75" customHeight="1">
      <c r="A425" s="7"/>
      <c r="B425" s="7"/>
      <c r="C425" s="7"/>
    </row>
    <row r="426" ht="15.75" customHeight="1">
      <c r="A426" s="7"/>
      <c r="B426" s="7"/>
      <c r="C426" s="7"/>
    </row>
    <row r="427" ht="15.75" customHeight="1">
      <c r="A427" s="7"/>
      <c r="B427" s="7"/>
      <c r="C427" s="7"/>
    </row>
    <row r="428" ht="15.75" customHeight="1">
      <c r="A428" s="7"/>
      <c r="B428" s="7"/>
      <c r="C428" s="7"/>
    </row>
    <row r="429" ht="15.75" customHeight="1">
      <c r="A429" s="7"/>
      <c r="B429" s="7"/>
      <c r="C429" s="7"/>
    </row>
    <row r="430" ht="15.75" customHeight="1">
      <c r="A430" s="7"/>
      <c r="B430" s="7"/>
      <c r="C430" s="7"/>
    </row>
    <row r="431" ht="15.75" customHeight="1">
      <c r="A431" s="7"/>
      <c r="B431" s="7"/>
      <c r="C431" s="7"/>
    </row>
    <row r="432" ht="15.75" customHeight="1">
      <c r="A432" s="7"/>
      <c r="B432" s="7"/>
      <c r="C432" s="7"/>
    </row>
    <row r="433" ht="15.75" customHeight="1">
      <c r="A433" s="7"/>
      <c r="B433" s="7"/>
      <c r="C433" s="7"/>
    </row>
    <row r="434" ht="15.75" customHeight="1">
      <c r="A434" s="7"/>
      <c r="B434" s="7"/>
      <c r="C434" s="7"/>
    </row>
    <row r="435" ht="15.75" customHeight="1">
      <c r="A435" s="7"/>
      <c r="B435" s="7"/>
      <c r="C435" s="7"/>
    </row>
    <row r="436" ht="15.75" customHeight="1">
      <c r="A436" s="7"/>
      <c r="B436" s="7"/>
      <c r="C436" s="7"/>
    </row>
    <row r="437" ht="15.75" customHeight="1">
      <c r="A437" s="7"/>
      <c r="B437" s="7"/>
      <c r="C437" s="7"/>
    </row>
    <row r="438" ht="15.75" customHeight="1">
      <c r="A438" s="7"/>
      <c r="B438" s="7"/>
      <c r="C438" s="7"/>
    </row>
    <row r="439" ht="15.75" customHeight="1">
      <c r="A439" s="7"/>
      <c r="B439" s="7"/>
      <c r="C439" s="7"/>
    </row>
    <row r="440" ht="15.75" customHeight="1">
      <c r="A440" s="7"/>
      <c r="B440" s="7"/>
      <c r="C440" s="7"/>
    </row>
    <row r="441" ht="15.75" customHeight="1">
      <c r="A441" s="7"/>
      <c r="B441" s="7"/>
      <c r="C441" s="7"/>
    </row>
    <row r="442" ht="15.75" customHeight="1">
      <c r="A442" s="7"/>
      <c r="B442" s="7"/>
      <c r="C442" s="7"/>
    </row>
    <row r="443" ht="15.75" customHeight="1">
      <c r="A443" s="7"/>
      <c r="B443" s="7"/>
      <c r="C443" s="7"/>
    </row>
    <row r="444" ht="15.75" customHeight="1">
      <c r="A444" s="7"/>
      <c r="B444" s="7"/>
      <c r="C444" s="7"/>
    </row>
    <row r="445" ht="15.75" customHeight="1">
      <c r="A445" s="7"/>
      <c r="B445" s="7"/>
      <c r="C445" s="7"/>
    </row>
    <row r="446" ht="15.75" customHeight="1">
      <c r="A446" s="7"/>
      <c r="B446" s="7"/>
      <c r="C446" s="7"/>
    </row>
    <row r="447" ht="15.75" customHeight="1">
      <c r="A447" s="7"/>
      <c r="B447" s="7"/>
      <c r="C447" s="7"/>
    </row>
    <row r="448" ht="15.75" customHeight="1">
      <c r="A448" s="7"/>
      <c r="B448" s="7"/>
      <c r="C448" s="7"/>
    </row>
    <row r="449" ht="15.75" customHeight="1">
      <c r="A449" s="7"/>
      <c r="B449" s="7"/>
      <c r="C449" s="7"/>
    </row>
    <row r="450" ht="15.75" customHeight="1">
      <c r="A450" s="7"/>
      <c r="B450" s="7"/>
      <c r="C450" s="7"/>
    </row>
    <row r="451" ht="15.75" customHeight="1">
      <c r="A451" s="7"/>
      <c r="B451" s="7"/>
      <c r="C451" s="7"/>
    </row>
    <row r="452" ht="15.75" customHeight="1">
      <c r="A452" s="7"/>
      <c r="B452" s="7"/>
      <c r="C452" s="7"/>
    </row>
    <row r="453" ht="15.75" customHeight="1">
      <c r="A453" s="7"/>
      <c r="B453" s="7"/>
      <c r="C453" s="7"/>
    </row>
    <row r="454" ht="15.75" customHeight="1">
      <c r="A454" s="7"/>
      <c r="B454" s="7"/>
      <c r="C454" s="7"/>
    </row>
    <row r="455" ht="15.75" customHeight="1">
      <c r="A455" s="7"/>
      <c r="B455" s="7"/>
      <c r="C455" s="7"/>
    </row>
    <row r="456" ht="15.75" customHeight="1">
      <c r="A456" s="7"/>
      <c r="B456" s="7"/>
      <c r="C456" s="7"/>
    </row>
    <row r="457" ht="15.75" customHeight="1">
      <c r="A457" s="7"/>
      <c r="B457" s="7"/>
      <c r="C457" s="7"/>
    </row>
    <row r="458" ht="15.75" customHeight="1">
      <c r="A458" s="7"/>
      <c r="B458" s="7"/>
      <c r="C458" s="7"/>
    </row>
    <row r="459" ht="15.75" customHeight="1">
      <c r="A459" s="7"/>
      <c r="B459" s="7"/>
      <c r="C459" s="7"/>
    </row>
    <row r="460" ht="15.75" customHeight="1">
      <c r="A460" s="7"/>
      <c r="B460" s="7"/>
      <c r="C460" s="7"/>
    </row>
    <row r="461" ht="15.75" customHeight="1">
      <c r="A461" s="7"/>
      <c r="B461" s="7"/>
      <c r="C461" s="7"/>
    </row>
    <row r="462" ht="15.75" customHeight="1">
      <c r="A462" s="7"/>
      <c r="B462" s="7"/>
      <c r="C462" s="7"/>
    </row>
    <row r="463" ht="15.75" customHeight="1">
      <c r="A463" s="7"/>
      <c r="B463" s="7"/>
      <c r="C463" s="7"/>
    </row>
    <row r="464" ht="15.75" customHeight="1">
      <c r="A464" s="7"/>
      <c r="B464" s="7"/>
      <c r="C464" s="7"/>
    </row>
    <row r="465" ht="15.75" customHeight="1">
      <c r="A465" s="7"/>
      <c r="B465" s="7"/>
      <c r="C465" s="7"/>
    </row>
    <row r="466" ht="15.75" customHeight="1">
      <c r="A466" s="7"/>
      <c r="B466" s="7"/>
      <c r="C466" s="7"/>
    </row>
    <row r="467" ht="15.75" customHeight="1">
      <c r="A467" s="7"/>
      <c r="B467" s="7"/>
      <c r="C467" s="7"/>
    </row>
    <row r="468" ht="15.75" customHeight="1">
      <c r="A468" s="7"/>
      <c r="B468" s="7"/>
      <c r="C468" s="7"/>
    </row>
    <row r="469" ht="15.75" customHeight="1">
      <c r="A469" s="7"/>
      <c r="B469" s="7"/>
      <c r="C469" s="7"/>
    </row>
    <row r="470" ht="15.75" customHeight="1">
      <c r="A470" s="7"/>
      <c r="B470" s="7"/>
      <c r="C470" s="7"/>
    </row>
    <row r="471" ht="15.75" customHeight="1">
      <c r="A471" s="7"/>
      <c r="B471" s="7"/>
      <c r="C471" s="7"/>
    </row>
    <row r="472" ht="15.75" customHeight="1">
      <c r="A472" s="7"/>
      <c r="B472" s="7"/>
      <c r="C472" s="7"/>
    </row>
    <row r="473" ht="15.75" customHeight="1">
      <c r="A473" s="7"/>
      <c r="B473" s="7"/>
      <c r="C473" s="7"/>
    </row>
    <row r="474" ht="15.75" customHeight="1">
      <c r="A474" s="7"/>
      <c r="B474" s="7"/>
      <c r="C474" s="7"/>
    </row>
    <row r="475" ht="15.75" customHeight="1">
      <c r="A475" s="7"/>
      <c r="B475" s="7"/>
      <c r="C475" s="7"/>
    </row>
    <row r="476" ht="15.75" customHeight="1">
      <c r="A476" s="7"/>
      <c r="B476" s="7"/>
      <c r="C476" s="7"/>
    </row>
    <row r="477" ht="15.75" customHeight="1">
      <c r="A477" s="7"/>
      <c r="B477" s="7"/>
      <c r="C477" s="7"/>
    </row>
    <row r="478" ht="15.75" customHeight="1">
      <c r="A478" s="7"/>
      <c r="B478" s="7"/>
      <c r="C478" s="7"/>
    </row>
    <row r="479" ht="15.75" customHeight="1">
      <c r="A479" s="7"/>
      <c r="B479" s="7"/>
      <c r="C479" s="7"/>
    </row>
    <row r="480" ht="15.75" customHeight="1">
      <c r="A480" s="7"/>
      <c r="B480" s="7"/>
      <c r="C480" s="7"/>
    </row>
    <row r="481" ht="15.75" customHeight="1">
      <c r="A481" s="7"/>
      <c r="B481" s="7"/>
      <c r="C481" s="7"/>
    </row>
    <row r="482" ht="15.75" customHeight="1">
      <c r="A482" s="7"/>
      <c r="B482" s="7"/>
      <c r="C482" s="7"/>
    </row>
    <row r="483" ht="15.75" customHeight="1">
      <c r="A483" s="7"/>
      <c r="B483" s="7"/>
      <c r="C483" s="7"/>
    </row>
    <row r="484" ht="15.75" customHeight="1">
      <c r="A484" s="7"/>
      <c r="B484" s="7"/>
      <c r="C484" s="7"/>
    </row>
    <row r="485" ht="15.75" customHeight="1">
      <c r="A485" s="7"/>
      <c r="B485" s="7"/>
      <c r="C485" s="7"/>
    </row>
    <row r="486" ht="15.75" customHeight="1">
      <c r="A486" s="7"/>
      <c r="B486" s="7"/>
      <c r="C486" s="7"/>
    </row>
    <row r="487" ht="15.75" customHeight="1">
      <c r="A487" s="7"/>
      <c r="B487" s="7"/>
      <c r="C487" s="7"/>
    </row>
    <row r="488" ht="15.75" customHeight="1">
      <c r="A488" s="7"/>
      <c r="B488" s="7"/>
      <c r="C488" s="7"/>
    </row>
    <row r="489" ht="15.75" customHeight="1">
      <c r="A489" s="7"/>
      <c r="B489" s="7"/>
      <c r="C489" s="7"/>
    </row>
    <row r="490" ht="15.75" customHeight="1">
      <c r="A490" s="7"/>
      <c r="B490" s="7"/>
      <c r="C490" s="7"/>
    </row>
    <row r="491" ht="15.75" customHeight="1">
      <c r="A491" s="7"/>
      <c r="B491" s="7"/>
      <c r="C491" s="7"/>
    </row>
    <row r="492" ht="15.75" customHeight="1">
      <c r="A492" s="7"/>
      <c r="B492" s="7"/>
      <c r="C492" s="7"/>
    </row>
    <row r="493" ht="15.75" customHeight="1">
      <c r="A493" s="7"/>
      <c r="B493" s="7"/>
      <c r="C493" s="7"/>
    </row>
    <row r="494" ht="15.75" customHeight="1">
      <c r="A494" s="7"/>
      <c r="B494" s="7"/>
      <c r="C494" s="7"/>
    </row>
    <row r="495" ht="15.75" customHeight="1">
      <c r="A495" s="7"/>
      <c r="B495" s="7"/>
      <c r="C495" s="7"/>
    </row>
    <row r="496" ht="15.75" customHeight="1">
      <c r="A496" s="7"/>
      <c r="B496" s="7"/>
      <c r="C496" s="7"/>
    </row>
    <row r="497" ht="15.75" customHeight="1">
      <c r="A497" s="7"/>
      <c r="B497" s="7"/>
      <c r="C497" s="7"/>
    </row>
    <row r="498" ht="15.75" customHeight="1">
      <c r="A498" s="7"/>
      <c r="B498" s="7"/>
      <c r="C498" s="7"/>
    </row>
    <row r="499" ht="15.75" customHeight="1">
      <c r="A499" s="7"/>
      <c r="B499" s="7"/>
      <c r="C499" s="7"/>
    </row>
    <row r="500" ht="15.75" customHeight="1">
      <c r="A500" s="7"/>
      <c r="B500" s="7"/>
      <c r="C500" s="7"/>
    </row>
    <row r="501" ht="15.75" customHeight="1">
      <c r="A501" s="7"/>
      <c r="B501" s="7"/>
      <c r="C501" s="7"/>
    </row>
    <row r="502" ht="15.75" customHeight="1">
      <c r="A502" s="7"/>
      <c r="B502" s="7"/>
      <c r="C502" s="7"/>
    </row>
    <row r="503" ht="15.75" customHeight="1">
      <c r="A503" s="7"/>
      <c r="B503" s="7"/>
      <c r="C503" s="7"/>
    </row>
    <row r="504" ht="15.75" customHeight="1">
      <c r="A504" s="7"/>
      <c r="B504" s="7"/>
      <c r="C504" s="7"/>
    </row>
    <row r="505" ht="15.75" customHeight="1">
      <c r="A505" s="7"/>
      <c r="B505" s="7"/>
      <c r="C505" s="7"/>
    </row>
    <row r="506" ht="15.75" customHeight="1">
      <c r="A506" s="7"/>
      <c r="B506" s="7"/>
      <c r="C506" s="7"/>
    </row>
    <row r="507" ht="15.75" customHeight="1">
      <c r="A507" s="7"/>
      <c r="B507" s="7"/>
      <c r="C507" s="7"/>
    </row>
    <row r="508" ht="15.75" customHeight="1">
      <c r="A508" s="7"/>
      <c r="B508" s="7"/>
      <c r="C508" s="7"/>
    </row>
    <row r="509" ht="15.75" customHeight="1">
      <c r="A509" s="7"/>
      <c r="B509" s="7"/>
      <c r="C509" s="7"/>
    </row>
    <row r="510" ht="15.75" customHeight="1">
      <c r="A510" s="7"/>
      <c r="B510" s="7"/>
      <c r="C510" s="7"/>
    </row>
    <row r="511" ht="15.75" customHeight="1">
      <c r="A511" s="7"/>
      <c r="B511" s="7"/>
      <c r="C511" s="7"/>
    </row>
    <row r="512" ht="15.75" customHeight="1">
      <c r="A512" s="7"/>
      <c r="B512" s="7"/>
      <c r="C512" s="7"/>
    </row>
    <row r="513" ht="15.75" customHeight="1">
      <c r="A513" s="7"/>
      <c r="B513" s="7"/>
      <c r="C513" s="7"/>
    </row>
    <row r="514" ht="15.75" customHeight="1">
      <c r="A514" s="7"/>
      <c r="B514" s="7"/>
      <c r="C514" s="7"/>
    </row>
    <row r="515" ht="15.75" customHeight="1">
      <c r="A515" s="7"/>
      <c r="B515" s="7"/>
      <c r="C515" s="7"/>
    </row>
    <row r="516" ht="15.75" customHeight="1">
      <c r="A516" s="7"/>
      <c r="B516" s="7"/>
      <c r="C516" s="7"/>
    </row>
    <row r="517" ht="15.75" customHeight="1">
      <c r="A517" s="7"/>
      <c r="B517" s="7"/>
      <c r="C517" s="7"/>
    </row>
    <row r="518" ht="15.75" customHeight="1">
      <c r="A518" s="7"/>
      <c r="B518" s="7"/>
      <c r="C518" s="7"/>
    </row>
    <row r="519" ht="15.75" customHeight="1">
      <c r="A519" s="7"/>
      <c r="B519" s="7"/>
      <c r="C519" s="7"/>
    </row>
    <row r="520" ht="15.75" customHeight="1">
      <c r="A520" s="7"/>
      <c r="B520" s="7"/>
      <c r="C520" s="7"/>
    </row>
    <row r="521" ht="15.75" customHeight="1">
      <c r="A521" s="7"/>
      <c r="B521" s="7"/>
      <c r="C521" s="7"/>
    </row>
    <row r="522" ht="15.75" customHeight="1">
      <c r="A522" s="7"/>
      <c r="B522" s="7"/>
      <c r="C522" s="7"/>
    </row>
    <row r="523" ht="15.75" customHeight="1">
      <c r="A523" s="7"/>
      <c r="B523" s="7"/>
      <c r="C523" s="7"/>
    </row>
    <row r="524" ht="15.75" customHeight="1">
      <c r="A524" s="7"/>
      <c r="B524" s="7"/>
      <c r="C524" s="7"/>
    </row>
    <row r="525" ht="15.75" customHeight="1">
      <c r="A525" s="7"/>
      <c r="B525" s="7"/>
      <c r="C525" s="7"/>
    </row>
    <row r="526" ht="15.75" customHeight="1">
      <c r="A526" s="7"/>
      <c r="B526" s="7"/>
      <c r="C526" s="7"/>
    </row>
    <row r="527" ht="15.75" customHeight="1">
      <c r="A527" s="7"/>
      <c r="B527" s="7"/>
      <c r="C527" s="7"/>
    </row>
    <row r="528" ht="15.75" customHeight="1">
      <c r="A528" s="7"/>
      <c r="B528" s="7"/>
      <c r="C528" s="7"/>
    </row>
    <row r="529" ht="15.75" customHeight="1">
      <c r="A529" s="7"/>
      <c r="B529" s="7"/>
      <c r="C529" s="7"/>
    </row>
    <row r="530" ht="15.75" customHeight="1">
      <c r="A530" s="7"/>
      <c r="B530" s="7"/>
      <c r="C530" s="7"/>
    </row>
    <row r="531" ht="15.75" customHeight="1">
      <c r="A531" s="7"/>
      <c r="B531" s="7"/>
      <c r="C531" s="7"/>
    </row>
    <row r="532" ht="15.75" customHeight="1">
      <c r="A532" s="7"/>
      <c r="B532" s="7"/>
      <c r="C532" s="7"/>
    </row>
    <row r="533" ht="15.75" customHeight="1">
      <c r="A533" s="7"/>
      <c r="B533" s="7"/>
      <c r="C533" s="7"/>
    </row>
    <row r="534" ht="15.75" customHeight="1">
      <c r="A534" s="7"/>
      <c r="B534" s="7"/>
      <c r="C534" s="7"/>
    </row>
    <row r="535" ht="15.75" customHeight="1">
      <c r="A535" s="7"/>
      <c r="B535" s="7"/>
      <c r="C535" s="7"/>
    </row>
    <row r="536" ht="15.75" customHeight="1">
      <c r="A536" s="7"/>
      <c r="B536" s="7"/>
      <c r="C536" s="7"/>
    </row>
    <row r="537" ht="15.75" customHeight="1">
      <c r="A537" s="7"/>
      <c r="B537" s="7"/>
      <c r="C537" s="7"/>
    </row>
    <row r="538" ht="15.75" customHeight="1">
      <c r="A538" s="7"/>
      <c r="B538" s="7"/>
      <c r="C538" s="7"/>
    </row>
    <row r="539" ht="15.75" customHeight="1">
      <c r="A539" s="7"/>
      <c r="B539" s="7"/>
      <c r="C539" s="7"/>
    </row>
    <row r="540" ht="15.75" customHeight="1">
      <c r="A540" s="7"/>
      <c r="B540" s="7"/>
      <c r="C540" s="7"/>
    </row>
    <row r="541" ht="15.75" customHeight="1">
      <c r="A541" s="7"/>
      <c r="B541" s="7"/>
      <c r="C541" s="7"/>
    </row>
    <row r="542" ht="15.75" customHeight="1">
      <c r="A542" s="7"/>
      <c r="B542" s="7"/>
      <c r="C542" s="7"/>
    </row>
    <row r="543" ht="15.75" customHeight="1">
      <c r="A543" s="7"/>
      <c r="B543" s="7"/>
      <c r="C543" s="7"/>
    </row>
    <row r="544" ht="15.75" customHeight="1">
      <c r="A544" s="7"/>
      <c r="B544" s="7"/>
      <c r="C544" s="7"/>
    </row>
    <row r="545" ht="15.75" customHeight="1">
      <c r="A545" s="7"/>
      <c r="B545" s="7"/>
      <c r="C545" s="7"/>
    </row>
    <row r="546" ht="15.75" customHeight="1">
      <c r="A546" s="7"/>
      <c r="B546" s="7"/>
      <c r="C546" s="7"/>
    </row>
    <row r="547" ht="15.75" customHeight="1">
      <c r="A547" s="7"/>
      <c r="B547" s="7"/>
      <c r="C547" s="7"/>
    </row>
    <row r="548" ht="15.75" customHeight="1">
      <c r="A548" s="7"/>
      <c r="B548" s="7"/>
      <c r="C548" s="7"/>
    </row>
    <row r="549" ht="15.75" customHeight="1">
      <c r="A549" s="7"/>
      <c r="B549" s="7"/>
      <c r="C549" s="7"/>
    </row>
    <row r="550" ht="15.75" customHeight="1">
      <c r="A550" s="7"/>
      <c r="B550" s="7"/>
      <c r="C550" s="7"/>
    </row>
    <row r="551" ht="15.75" customHeight="1">
      <c r="A551" s="7"/>
      <c r="B551" s="7"/>
      <c r="C551" s="7"/>
    </row>
    <row r="552" ht="15.75" customHeight="1">
      <c r="A552" s="7"/>
      <c r="B552" s="7"/>
      <c r="C552" s="7"/>
    </row>
    <row r="553" ht="15.75" customHeight="1">
      <c r="A553" s="7"/>
      <c r="B553" s="7"/>
      <c r="C553" s="7"/>
    </row>
    <row r="554" ht="15.75" customHeight="1">
      <c r="A554" s="7"/>
      <c r="B554" s="7"/>
      <c r="C554" s="7"/>
    </row>
    <row r="555" ht="15.75" customHeight="1">
      <c r="A555" s="7"/>
      <c r="B555" s="7"/>
      <c r="C555" s="7"/>
    </row>
    <row r="556" ht="15.75" customHeight="1">
      <c r="A556" s="7"/>
      <c r="B556" s="7"/>
      <c r="C556" s="7"/>
    </row>
    <row r="557" ht="15.75" customHeight="1">
      <c r="A557" s="7"/>
      <c r="B557" s="7"/>
      <c r="C557" s="7"/>
    </row>
    <row r="558" ht="15.75" customHeight="1">
      <c r="A558" s="7"/>
      <c r="B558" s="7"/>
      <c r="C558" s="7"/>
    </row>
    <row r="559" ht="15.75" customHeight="1">
      <c r="A559" s="7"/>
      <c r="B559" s="7"/>
      <c r="C559" s="7"/>
    </row>
    <row r="560" ht="15.75" customHeight="1">
      <c r="A560" s="7"/>
      <c r="B560" s="7"/>
      <c r="C560" s="7"/>
    </row>
    <row r="561" ht="15.75" customHeight="1">
      <c r="A561" s="7"/>
      <c r="B561" s="7"/>
      <c r="C561" s="7"/>
    </row>
    <row r="562" ht="15.75" customHeight="1">
      <c r="A562" s="7"/>
      <c r="B562" s="7"/>
      <c r="C562" s="7"/>
    </row>
    <row r="563" ht="15.75" customHeight="1">
      <c r="A563" s="7"/>
      <c r="B563" s="7"/>
      <c r="C563" s="7"/>
    </row>
    <row r="564" ht="15.75" customHeight="1">
      <c r="A564" s="7"/>
      <c r="B564" s="7"/>
      <c r="C564" s="7"/>
    </row>
    <row r="565" ht="15.75" customHeight="1">
      <c r="A565" s="7"/>
      <c r="B565" s="7"/>
      <c r="C565" s="7"/>
    </row>
    <row r="566" ht="15.75" customHeight="1">
      <c r="A566" s="7"/>
      <c r="B566" s="7"/>
      <c r="C566" s="7"/>
    </row>
    <row r="567" ht="15.75" customHeight="1">
      <c r="A567" s="7"/>
      <c r="B567" s="7"/>
      <c r="C567" s="7"/>
    </row>
    <row r="568" ht="15.75" customHeight="1">
      <c r="A568" s="7"/>
      <c r="B568" s="7"/>
      <c r="C568" s="7"/>
    </row>
    <row r="569" ht="15.75" customHeight="1">
      <c r="A569" s="7"/>
      <c r="B569" s="7"/>
      <c r="C569" s="7"/>
    </row>
    <row r="570" ht="15.75" customHeight="1">
      <c r="A570" s="7"/>
      <c r="B570" s="7"/>
      <c r="C570" s="7"/>
    </row>
    <row r="571" ht="15.75" customHeight="1">
      <c r="A571" s="7"/>
      <c r="B571" s="7"/>
      <c r="C571" s="7"/>
    </row>
    <row r="572" ht="15.75" customHeight="1">
      <c r="A572" s="7"/>
      <c r="B572" s="7"/>
      <c r="C572" s="7"/>
    </row>
    <row r="573" ht="15.75" customHeight="1">
      <c r="A573" s="7"/>
      <c r="B573" s="7"/>
      <c r="C573" s="7"/>
    </row>
    <row r="574" ht="15.75" customHeight="1">
      <c r="A574" s="7"/>
      <c r="B574" s="7"/>
      <c r="C574" s="7"/>
    </row>
    <row r="575" ht="15.75" customHeight="1">
      <c r="A575" s="7"/>
      <c r="B575" s="7"/>
      <c r="C575" s="7"/>
    </row>
    <row r="576" ht="15.75" customHeight="1">
      <c r="A576" s="7"/>
      <c r="B576" s="7"/>
      <c r="C576" s="7"/>
    </row>
    <row r="577" ht="15.75" customHeight="1">
      <c r="A577" s="7"/>
      <c r="B577" s="7"/>
      <c r="C577" s="7"/>
    </row>
    <row r="578" ht="15.75" customHeight="1">
      <c r="A578" s="7"/>
      <c r="B578" s="7"/>
      <c r="C578" s="7"/>
    </row>
    <row r="579" ht="15.75" customHeight="1">
      <c r="A579" s="7"/>
      <c r="B579" s="7"/>
      <c r="C579" s="7"/>
    </row>
    <row r="580" ht="15.75" customHeight="1">
      <c r="A580" s="7"/>
      <c r="B580" s="7"/>
      <c r="C580" s="7"/>
    </row>
    <row r="581" ht="15.75" customHeight="1">
      <c r="A581" s="7"/>
      <c r="B581" s="7"/>
      <c r="C581" s="7"/>
    </row>
    <row r="582" ht="15.75" customHeight="1">
      <c r="A582" s="7"/>
      <c r="B582" s="7"/>
      <c r="C582" s="7"/>
    </row>
    <row r="583" ht="15.75" customHeight="1">
      <c r="A583" s="7"/>
      <c r="B583" s="7"/>
      <c r="C583" s="7"/>
    </row>
    <row r="584" ht="15.75" customHeight="1">
      <c r="A584" s="7"/>
      <c r="B584" s="7"/>
      <c r="C584" s="7"/>
    </row>
    <row r="585" ht="15.75" customHeight="1">
      <c r="A585" s="7"/>
      <c r="B585" s="7"/>
      <c r="C585" s="7"/>
    </row>
    <row r="586" ht="15.75" customHeight="1">
      <c r="A586" s="7"/>
      <c r="B586" s="7"/>
      <c r="C586" s="7"/>
    </row>
    <row r="587" ht="15.75" customHeight="1">
      <c r="A587" s="7"/>
      <c r="B587" s="7"/>
      <c r="C587" s="7"/>
    </row>
    <row r="588" ht="15.75" customHeight="1">
      <c r="A588" s="7"/>
      <c r="B588" s="7"/>
      <c r="C588" s="7"/>
    </row>
    <row r="589" ht="15.75" customHeight="1">
      <c r="A589" s="7"/>
      <c r="B589" s="7"/>
      <c r="C589" s="7"/>
    </row>
    <row r="590" ht="15.75" customHeight="1">
      <c r="A590" s="7"/>
      <c r="B590" s="7"/>
      <c r="C590" s="7"/>
    </row>
    <row r="591" ht="15.75" customHeight="1">
      <c r="A591" s="7"/>
      <c r="B591" s="7"/>
      <c r="C591" s="7"/>
    </row>
    <row r="592" ht="15.75" customHeight="1">
      <c r="A592" s="7"/>
      <c r="B592" s="7"/>
      <c r="C592" s="7"/>
    </row>
    <row r="593" ht="15.75" customHeight="1">
      <c r="A593" s="7"/>
      <c r="B593" s="7"/>
      <c r="C593" s="7"/>
    </row>
    <row r="594" ht="15.75" customHeight="1">
      <c r="A594" s="7"/>
      <c r="B594" s="7"/>
      <c r="C594" s="7"/>
    </row>
    <row r="595" ht="15.75" customHeight="1">
      <c r="A595" s="7"/>
      <c r="B595" s="7"/>
      <c r="C595" s="7"/>
    </row>
    <row r="596" ht="15.75" customHeight="1">
      <c r="A596" s="7"/>
      <c r="B596" s="7"/>
      <c r="C596" s="7"/>
    </row>
    <row r="597" ht="15.75" customHeight="1">
      <c r="A597" s="7"/>
      <c r="B597" s="7"/>
      <c r="C597" s="7"/>
    </row>
    <row r="598" ht="15.75" customHeight="1">
      <c r="A598" s="7"/>
      <c r="B598" s="7"/>
      <c r="C598" s="7"/>
    </row>
    <row r="599" ht="15.75" customHeight="1">
      <c r="A599" s="7"/>
      <c r="B599" s="7"/>
      <c r="C599" s="7"/>
    </row>
    <row r="600" ht="15.75" customHeight="1">
      <c r="A600" s="7"/>
      <c r="B600" s="7"/>
      <c r="C600" s="7"/>
    </row>
    <row r="601" ht="15.75" customHeight="1">
      <c r="A601" s="7"/>
      <c r="B601" s="7"/>
      <c r="C601" s="7"/>
    </row>
    <row r="602" ht="15.75" customHeight="1">
      <c r="A602" s="7"/>
      <c r="B602" s="7"/>
      <c r="C602" s="7"/>
    </row>
    <row r="603" ht="15.75" customHeight="1">
      <c r="A603" s="7"/>
      <c r="B603" s="7"/>
      <c r="C603" s="7"/>
    </row>
    <row r="604" ht="15.75" customHeight="1">
      <c r="A604" s="7"/>
      <c r="B604" s="7"/>
      <c r="C604" s="7"/>
    </row>
    <row r="605" ht="15.75" customHeight="1">
      <c r="A605" s="7"/>
      <c r="B605" s="7"/>
      <c r="C605" s="7"/>
    </row>
    <row r="606" ht="15.75" customHeight="1">
      <c r="A606" s="7"/>
      <c r="B606" s="7"/>
      <c r="C606" s="7"/>
    </row>
    <row r="607" ht="15.75" customHeight="1">
      <c r="A607" s="7"/>
      <c r="B607" s="7"/>
      <c r="C607" s="7"/>
    </row>
    <row r="608" ht="15.75" customHeight="1">
      <c r="A608" s="7"/>
      <c r="B608" s="7"/>
      <c r="C608" s="7"/>
    </row>
    <row r="609" ht="15.75" customHeight="1">
      <c r="A609" s="7"/>
      <c r="B609" s="7"/>
      <c r="C609" s="7"/>
    </row>
    <row r="610" ht="15.75" customHeight="1">
      <c r="A610" s="7"/>
      <c r="B610" s="7"/>
      <c r="C610" s="7"/>
    </row>
    <row r="611" ht="15.75" customHeight="1">
      <c r="A611" s="7"/>
      <c r="B611" s="7"/>
      <c r="C611" s="7"/>
    </row>
    <row r="612" ht="15.75" customHeight="1">
      <c r="A612" s="7"/>
      <c r="B612" s="7"/>
      <c r="C612" s="7"/>
    </row>
    <row r="613" ht="15.75" customHeight="1">
      <c r="A613" s="7"/>
      <c r="B613" s="7"/>
      <c r="C613" s="7"/>
    </row>
    <row r="614" ht="15.75" customHeight="1">
      <c r="A614" s="7"/>
      <c r="B614" s="7"/>
      <c r="C614" s="7"/>
    </row>
    <row r="615" ht="15.75" customHeight="1">
      <c r="A615" s="7"/>
      <c r="B615" s="7"/>
      <c r="C615" s="7"/>
    </row>
    <row r="616" ht="15.75" customHeight="1">
      <c r="A616" s="7"/>
      <c r="B616" s="7"/>
      <c r="C616" s="7"/>
    </row>
    <row r="617" ht="15.75" customHeight="1">
      <c r="A617" s="7"/>
      <c r="B617" s="7"/>
      <c r="C617" s="7"/>
    </row>
    <row r="618" ht="15.75" customHeight="1">
      <c r="A618" s="7"/>
      <c r="B618" s="7"/>
      <c r="C618" s="7"/>
    </row>
    <row r="619" ht="15.75" customHeight="1">
      <c r="A619" s="7"/>
      <c r="B619" s="7"/>
      <c r="C619" s="7"/>
    </row>
    <row r="620" ht="15.75" customHeight="1">
      <c r="A620" s="7"/>
      <c r="B620" s="7"/>
      <c r="C620" s="7"/>
    </row>
    <row r="621" ht="15.75" customHeight="1">
      <c r="A621" s="7"/>
      <c r="B621" s="7"/>
      <c r="C621" s="7"/>
    </row>
    <row r="622" ht="15.75" customHeight="1">
      <c r="A622" s="7"/>
      <c r="B622" s="7"/>
      <c r="C622" s="7"/>
    </row>
    <row r="623" ht="15.75" customHeight="1">
      <c r="A623" s="7"/>
      <c r="B623" s="7"/>
      <c r="C623" s="7"/>
    </row>
    <row r="624" ht="15.75" customHeight="1">
      <c r="A624" s="7"/>
      <c r="B624" s="7"/>
      <c r="C624" s="7"/>
    </row>
    <row r="625" ht="15.75" customHeight="1">
      <c r="A625" s="7"/>
      <c r="B625" s="7"/>
      <c r="C625" s="7"/>
    </row>
    <row r="626" ht="15.75" customHeight="1">
      <c r="A626" s="7"/>
      <c r="B626" s="7"/>
      <c r="C626" s="7"/>
    </row>
    <row r="627" ht="15.75" customHeight="1">
      <c r="A627" s="7"/>
      <c r="B627" s="7"/>
      <c r="C627" s="7"/>
    </row>
    <row r="628" ht="15.75" customHeight="1">
      <c r="A628" s="7"/>
      <c r="B628" s="7"/>
      <c r="C628" s="7"/>
    </row>
    <row r="629" ht="15.75" customHeight="1">
      <c r="A629" s="7"/>
      <c r="B629" s="7"/>
      <c r="C629" s="7"/>
    </row>
    <row r="630" ht="15.75" customHeight="1">
      <c r="A630" s="7"/>
      <c r="B630" s="7"/>
      <c r="C630" s="7"/>
    </row>
    <row r="631" ht="15.75" customHeight="1">
      <c r="A631" s="7"/>
      <c r="B631" s="7"/>
      <c r="C631" s="7"/>
    </row>
    <row r="632" ht="15.75" customHeight="1">
      <c r="A632" s="7"/>
      <c r="B632" s="7"/>
      <c r="C632" s="7"/>
    </row>
    <row r="633" ht="15.75" customHeight="1">
      <c r="A633" s="7"/>
      <c r="B633" s="7"/>
      <c r="C633" s="7"/>
    </row>
    <row r="634" ht="15.75" customHeight="1">
      <c r="A634" s="7"/>
      <c r="B634" s="7"/>
      <c r="C634" s="7"/>
    </row>
    <row r="635" ht="15.75" customHeight="1">
      <c r="A635" s="7"/>
      <c r="B635" s="7"/>
      <c r="C635" s="7"/>
    </row>
    <row r="636" ht="15.75" customHeight="1">
      <c r="A636" s="7"/>
      <c r="B636" s="7"/>
      <c r="C636" s="7"/>
    </row>
    <row r="637" ht="15.75" customHeight="1">
      <c r="A637" s="7"/>
      <c r="B637" s="7"/>
      <c r="C637" s="7"/>
    </row>
    <row r="638" ht="15.75" customHeight="1">
      <c r="A638" s="7"/>
      <c r="B638" s="7"/>
      <c r="C638" s="7"/>
    </row>
    <row r="639" ht="15.75" customHeight="1">
      <c r="A639" s="7"/>
      <c r="B639" s="7"/>
      <c r="C639" s="7"/>
    </row>
    <row r="640" ht="15.75" customHeight="1">
      <c r="A640" s="7"/>
      <c r="B640" s="7"/>
      <c r="C640" s="7"/>
    </row>
    <row r="641" ht="15.75" customHeight="1">
      <c r="A641" s="7"/>
      <c r="B641" s="7"/>
      <c r="C641" s="7"/>
    </row>
    <row r="642" ht="15.75" customHeight="1">
      <c r="A642" s="7"/>
      <c r="B642" s="7"/>
      <c r="C642" s="7"/>
    </row>
    <row r="643" ht="15.75" customHeight="1">
      <c r="A643" s="7"/>
      <c r="B643" s="7"/>
      <c r="C643" s="7"/>
    </row>
    <row r="644" ht="15.75" customHeight="1">
      <c r="A644" s="7"/>
      <c r="B644" s="7"/>
      <c r="C644" s="7"/>
    </row>
    <row r="645" ht="15.75" customHeight="1">
      <c r="A645" s="7"/>
      <c r="B645" s="7"/>
      <c r="C645" s="7"/>
    </row>
    <row r="646" ht="15.75" customHeight="1">
      <c r="A646" s="7"/>
      <c r="B646" s="7"/>
      <c r="C646" s="7"/>
    </row>
    <row r="647" ht="15.75" customHeight="1">
      <c r="A647" s="7"/>
      <c r="B647" s="7"/>
      <c r="C647" s="7"/>
    </row>
    <row r="648" ht="15.75" customHeight="1">
      <c r="A648" s="7"/>
      <c r="B648" s="7"/>
      <c r="C648" s="7"/>
    </row>
    <row r="649" ht="15.75" customHeight="1">
      <c r="A649" s="7"/>
      <c r="B649" s="7"/>
      <c r="C649" s="7"/>
    </row>
    <row r="650" ht="15.75" customHeight="1">
      <c r="A650" s="7"/>
      <c r="B650" s="7"/>
      <c r="C650" s="7"/>
    </row>
    <row r="651" ht="15.75" customHeight="1">
      <c r="A651" s="7"/>
      <c r="B651" s="7"/>
      <c r="C651" s="7"/>
    </row>
    <row r="652" ht="15.75" customHeight="1">
      <c r="A652" s="7"/>
      <c r="B652" s="7"/>
      <c r="C652" s="7"/>
    </row>
    <row r="653" ht="15.75" customHeight="1">
      <c r="A653" s="7"/>
      <c r="B653" s="7"/>
      <c r="C653" s="7"/>
    </row>
    <row r="654" ht="15.75" customHeight="1">
      <c r="A654" s="7"/>
      <c r="B654" s="7"/>
      <c r="C654" s="7"/>
    </row>
    <row r="655" ht="15.75" customHeight="1">
      <c r="A655" s="7"/>
      <c r="B655" s="7"/>
      <c r="C655" s="7"/>
    </row>
    <row r="656" ht="15.75" customHeight="1">
      <c r="A656" s="7"/>
      <c r="B656" s="7"/>
      <c r="C656" s="7"/>
    </row>
    <row r="657" ht="15.75" customHeight="1">
      <c r="A657" s="7"/>
      <c r="B657" s="7"/>
      <c r="C657" s="7"/>
    </row>
    <row r="658" ht="15.75" customHeight="1">
      <c r="A658" s="7"/>
      <c r="B658" s="7"/>
      <c r="C658" s="7"/>
    </row>
    <row r="659" ht="15.75" customHeight="1">
      <c r="A659" s="7"/>
      <c r="B659" s="7"/>
      <c r="C659" s="7"/>
    </row>
    <row r="660" ht="15.75" customHeight="1">
      <c r="A660" s="7"/>
      <c r="B660" s="7"/>
      <c r="C660" s="7"/>
    </row>
    <row r="661" ht="15.75" customHeight="1">
      <c r="A661" s="7"/>
      <c r="B661" s="7"/>
      <c r="C661" s="7"/>
    </row>
    <row r="662" ht="15.75" customHeight="1">
      <c r="A662" s="7"/>
      <c r="B662" s="7"/>
      <c r="C662" s="7"/>
    </row>
    <row r="663" ht="15.75" customHeight="1">
      <c r="A663" s="7"/>
      <c r="B663" s="7"/>
      <c r="C663" s="7"/>
    </row>
    <row r="664" ht="15.75" customHeight="1">
      <c r="A664" s="7"/>
      <c r="B664" s="7"/>
      <c r="C664" s="7"/>
    </row>
    <row r="665" ht="15.75" customHeight="1">
      <c r="A665" s="7"/>
      <c r="B665" s="7"/>
      <c r="C665" s="7"/>
    </row>
    <row r="666" ht="15.75" customHeight="1">
      <c r="A666" s="7"/>
      <c r="B666" s="7"/>
      <c r="C666" s="7"/>
    </row>
    <row r="667" ht="15.75" customHeight="1">
      <c r="A667" s="7"/>
      <c r="B667" s="7"/>
      <c r="C667" s="7"/>
    </row>
    <row r="668" ht="15.75" customHeight="1">
      <c r="A668" s="7"/>
      <c r="B668" s="7"/>
      <c r="C668" s="7"/>
    </row>
    <row r="669" ht="15.75" customHeight="1">
      <c r="A669" s="7"/>
      <c r="B669" s="7"/>
      <c r="C669" s="7"/>
    </row>
    <row r="670" ht="15.75" customHeight="1">
      <c r="A670" s="7"/>
      <c r="B670" s="7"/>
      <c r="C670" s="7"/>
    </row>
    <row r="671" ht="15.75" customHeight="1">
      <c r="A671" s="7"/>
      <c r="B671" s="7"/>
      <c r="C671" s="7"/>
    </row>
    <row r="672" ht="15.75" customHeight="1">
      <c r="A672" s="7"/>
      <c r="B672" s="7"/>
      <c r="C672" s="7"/>
    </row>
    <row r="673" ht="15.75" customHeight="1">
      <c r="A673" s="7"/>
      <c r="B673" s="7"/>
      <c r="C673" s="7"/>
    </row>
    <row r="674" ht="15.75" customHeight="1">
      <c r="A674" s="7"/>
      <c r="B674" s="7"/>
      <c r="C674" s="7"/>
    </row>
    <row r="675" ht="15.75" customHeight="1">
      <c r="A675" s="7"/>
      <c r="B675" s="7"/>
      <c r="C675" s="7"/>
    </row>
    <row r="676" ht="15.75" customHeight="1">
      <c r="A676" s="7"/>
      <c r="B676" s="7"/>
      <c r="C676" s="7"/>
    </row>
    <row r="677" ht="15.75" customHeight="1">
      <c r="A677" s="7"/>
      <c r="B677" s="7"/>
      <c r="C677" s="7"/>
    </row>
    <row r="678" ht="15.75" customHeight="1">
      <c r="A678" s="7"/>
      <c r="B678" s="7"/>
      <c r="C678" s="7"/>
    </row>
    <row r="679" ht="15.75" customHeight="1">
      <c r="A679" s="7"/>
      <c r="B679" s="7"/>
      <c r="C679" s="7"/>
    </row>
    <row r="680" ht="15.75" customHeight="1">
      <c r="A680" s="7"/>
      <c r="B680" s="7"/>
      <c r="C680" s="7"/>
    </row>
    <row r="681" ht="15.75" customHeight="1">
      <c r="A681" s="7"/>
      <c r="B681" s="7"/>
      <c r="C681" s="7"/>
    </row>
    <row r="682" ht="15.75" customHeight="1">
      <c r="A682" s="7"/>
      <c r="B682" s="7"/>
      <c r="C682" s="7"/>
    </row>
    <row r="683" ht="15.75" customHeight="1">
      <c r="A683" s="7"/>
      <c r="B683" s="7"/>
      <c r="C683" s="7"/>
    </row>
    <row r="684" ht="15.75" customHeight="1">
      <c r="A684" s="7"/>
      <c r="B684" s="7"/>
      <c r="C684" s="7"/>
    </row>
    <row r="685" ht="15.75" customHeight="1">
      <c r="A685" s="7"/>
      <c r="B685" s="7"/>
      <c r="C685" s="7"/>
    </row>
    <row r="686" ht="15.75" customHeight="1">
      <c r="A686" s="7"/>
      <c r="B686" s="7"/>
      <c r="C686" s="7"/>
    </row>
    <row r="687" ht="15.75" customHeight="1">
      <c r="A687" s="7"/>
      <c r="B687" s="7"/>
      <c r="C687" s="7"/>
    </row>
    <row r="688" ht="15.75" customHeight="1">
      <c r="A688" s="7"/>
      <c r="B688" s="7"/>
      <c r="C688" s="7"/>
    </row>
    <row r="689" ht="15.75" customHeight="1">
      <c r="A689" s="7"/>
      <c r="B689" s="7"/>
      <c r="C689" s="7"/>
    </row>
    <row r="690" ht="15.75" customHeight="1">
      <c r="A690" s="7"/>
      <c r="B690" s="7"/>
      <c r="C690" s="7"/>
    </row>
    <row r="691" ht="15.75" customHeight="1">
      <c r="A691" s="7"/>
      <c r="B691" s="7"/>
      <c r="C691" s="7"/>
    </row>
    <row r="692" ht="15.75" customHeight="1">
      <c r="A692" s="7"/>
      <c r="B692" s="7"/>
      <c r="C692" s="7"/>
    </row>
    <row r="693" ht="15.75" customHeight="1">
      <c r="A693" s="7"/>
      <c r="B693" s="7"/>
      <c r="C693" s="7"/>
    </row>
    <row r="694" ht="15.75" customHeight="1">
      <c r="A694" s="7"/>
      <c r="B694" s="7"/>
      <c r="C694" s="7"/>
    </row>
    <row r="695" ht="15.75" customHeight="1">
      <c r="A695" s="7"/>
      <c r="B695" s="7"/>
      <c r="C695" s="7"/>
    </row>
    <row r="696" ht="15.75" customHeight="1">
      <c r="A696" s="7"/>
      <c r="B696" s="7"/>
      <c r="C696" s="7"/>
    </row>
    <row r="697" ht="15.75" customHeight="1">
      <c r="A697" s="7"/>
      <c r="B697" s="7"/>
      <c r="C697" s="7"/>
    </row>
    <row r="698" ht="15.75" customHeight="1">
      <c r="A698" s="7"/>
      <c r="B698" s="7"/>
      <c r="C698" s="7"/>
    </row>
    <row r="699" ht="15.75" customHeight="1">
      <c r="A699" s="7"/>
      <c r="B699" s="7"/>
      <c r="C699" s="7"/>
    </row>
    <row r="700" ht="15.75" customHeight="1">
      <c r="A700" s="7"/>
      <c r="B700" s="7"/>
      <c r="C700" s="7"/>
    </row>
    <row r="701" ht="15.75" customHeight="1">
      <c r="A701" s="7"/>
      <c r="B701" s="7"/>
      <c r="C701" s="7"/>
    </row>
    <row r="702" ht="15.75" customHeight="1">
      <c r="A702" s="7"/>
      <c r="B702" s="7"/>
      <c r="C702" s="7"/>
    </row>
    <row r="703" ht="15.75" customHeight="1">
      <c r="A703" s="7"/>
      <c r="B703" s="7"/>
      <c r="C703" s="7"/>
    </row>
    <row r="704" ht="15.75" customHeight="1">
      <c r="A704" s="7"/>
      <c r="B704" s="7"/>
      <c r="C704" s="7"/>
    </row>
    <row r="705" ht="15.75" customHeight="1">
      <c r="A705" s="7"/>
      <c r="B705" s="7"/>
      <c r="C705" s="7"/>
    </row>
    <row r="706" ht="15.75" customHeight="1">
      <c r="A706" s="7"/>
      <c r="B706" s="7"/>
      <c r="C706" s="7"/>
    </row>
    <row r="707" ht="15.75" customHeight="1">
      <c r="A707" s="7"/>
      <c r="B707" s="7"/>
      <c r="C707" s="7"/>
    </row>
    <row r="708" ht="15.75" customHeight="1">
      <c r="A708" s="7"/>
      <c r="B708" s="7"/>
      <c r="C708" s="7"/>
    </row>
    <row r="709" ht="15.75" customHeight="1">
      <c r="A709" s="7"/>
      <c r="B709" s="7"/>
      <c r="C709" s="7"/>
    </row>
    <row r="710" ht="15.75" customHeight="1">
      <c r="A710" s="7"/>
      <c r="B710" s="7"/>
      <c r="C710" s="7"/>
    </row>
    <row r="711" ht="15.75" customHeight="1">
      <c r="A711" s="7"/>
      <c r="B711" s="7"/>
      <c r="C711" s="7"/>
    </row>
    <row r="712" ht="15.75" customHeight="1">
      <c r="A712" s="7"/>
      <c r="B712" s="7"/>
      <c r="C712" s="7"/>
    </row>
    <row r="713" ht="15.75" customHeight="1">
      <c r="A713" s="7"/>
      <c r="B713" s="7"/>
      <c r="C713" s="7"/>
    </row>
    <row r="714" ht="15.75" customHeight="1">
      <c r="A714" s="7"/>
      <c r="B714" s="7"/>
      <c r="C714" s="7"/>
    </row>
    <row r="715" ht="15.75" customHeight="1">
      <c r="A715" s="7"/>
      <c r="B715" s="7"/>
      <c r="C715" s="7"/>
    </row>
    <row r="716" ht="15.75" customHeight="1">
      <c r="A716" s="7"/>
      <c r="B716" s="7"/>
      <c r="C716" s="7"/>
    </row>
    <row r="717" ht="15.75" customHeight="1">
      <c r="A717" s="7"/>
      <c r="B717" s="7"/>
      <c r="C717" s="7"/>
    </row>
    <row r="718" ht="15.75" customHeight="1">
      <c r="A718" s="7"/>
      <c r="B718" s="7"/>
      <c r="C718" s="7"/>
    </row>
    <row r="719" ht="15.75" customHeight="1">
      <c r="A719" s="7"/>
      <c r="B719" s="7"/>
      <c r="C719" s="7"/>
    </row>
    <row r="720" ht="15.75" customHeight="1">
      <c r="A720" s="7"/>
      <c r="B720" s="7"/>
      <c r="C720" s="7"/>
    </row>
    <row r="721" ht="15.75" customHeight="1">
      <c r="A721" s="7"/>
      <c r="B721" s="7"/>
      <c r="C721" s="7"/>
    </row>
    <row r="722" ht="15.75" customHeight="1">
      <c r="A722" s="7"/>
      <c r="B722" s="7"/>
      <c r="C722" s="7"/>
    </row>
    <row r="723" ht="15.75" customHeight="1">
      <c r="A723" s="7"/>
      <c r="B723" s="7"/>
      <c r="C723" s="7"/>
    </row>
    <row r="724" ht="15.75" customHeight="1">
      <c r="A724" s="7"/>
      <c r="B724" s="7"/>
      <c r="C724" s="7"/>
    </row>
    <row r="725" ht="15.75" customHeight="1">
      <c r="A725" s="7"/>
      <c r="B725" s="7"/>
      <c r="C725" s="7"/>
    </row>
    <row r="726" ht="15.75" customHeight="1">
      <c r="A726" s="7"/>
      <c r="B726" s="7"/>
      <c r="C726" s="7"/>
    </row>
    <row r="727" ht="15.75" customHeight="1">
      <c r="A727" s="7"/>
      <c r="B727" s="7"/>
      <c r="C727" s="7"/>
    </row>
    <row r="728" ht="15.75" customHeight="1">
      <c r="A728" s="7"/>
      <c r="B728" s="7"/>
      <c r="C728" s="7"/>
    </row>
    <row r="729" ht="15.75" customHeight="1">
      <c r="A729" s="7"/>
      <c r="B729" s="7"/>
      <c r="C729" s="7"/>
    </row>
    <row r="730" ht="15.75" customHeight="1">
      <c r="A730" s="7"/>
      <c r="B730" s="7"/>
      <c r="C730" s="7"/>
    </row>
    <row r="731" ht="15.75" customHeight="1">
      <c r="A731" s="7"/>
      <c r="B731" s="7"/>
      <c r="C731" s="7"/>
    </row>
    <row r="732" ht="15.75" customHeight="1">
      <c r="A732" s="7"/>
      <c r="B732" s="7"/>
      <c r="C732" s="7"/>
    </row>
    <row r="733" ht="15.75" customHeight="1">
      <c r="A733" s="7"/>
      <c r="B733" s="7"/>
      <c r="C733" s="7"/>
    </row>
    <row r="734" ht="15.75" customHeight="1">
      <c r="A734" s="7"/>
      <c r="B734" s="7"/>
      <c r="C734" s="7"/>
    </row>
    <row r="735" ht="15.75" customHeight="1">
      <c r="A735" s="7"/>
      <c r="B735" s="7"/>
      <c r="C735" s="7"/>
    </row>
    <row r="736" ht="15.75" customHeight="1">
      <c r="A736" s="7"/>
      <c r="B736" s="7"/>
      <c r="C736" s="7"/>
    </row>
    <row r="737" ht="15.75" customHeight="1">
      <c r="A737" s="7"/>
      <c r="B737" s="7"/>
      <c r="C737" s="7"/>
    </row>
    <row r="738" ht="15.75" customHeight="1">
      <c r="A738" s="7"/>
      <c r="B738" s="7"/>
      <c r="C738" s="7"/>
    </row>
    <row r="739" ht="15.75" customHeight="1">
      <c r="A739" s="7"/>
      <c r="B739" s="7"/>
      <c r="C739" s="7"/>
    </row>
    <row r="740" ht="15.75" customHeight="1">
      <c r="A740" s="7"/>
      <c r="B740" s="7"/>
      <c r="C740" s="7"/>
    </row>
    <row r="741" ht="15.75" customHeight="1">
      <c r="A741" s="7"/>
      <c r="B741" s="7"/>
      <c r="C741" s="7"/>
    </row>
    <row r="742" ht="15.75" customHeight="1">
      <c r="A742" s="7"/>
      <c r="B742" s="7"/>
      <c r="C742" s="7"/>
    </row>
    <row r="743" ht="15.75" customHeight="1">
      <c r="A743" s="7"/>
      <c r="B743" s="7"/>
      <c r="C743" s="7"/>
    </row>
    <row r="744" ht="15.75" customHeight="1">
      <c r="A744" s="7"/>
      <c r="B744" s="7"/>
      <c r="C744" s="7"/>
    </row>
    <row r="745" ht="15.75" customHeight="1">
      <c r="A745" s="7"/>
      <c r="B745" s="7"/>
      <c r="C745" s="7"/>
    </row>
    <row r="746" ht="15.75" customHeight="1">
      <c r="A746" s="7"/>
      <c r="B746" s="7"/>
      <c r="C746" s="7"/>
    </row>
    <row r="747" ht="15.75" customHeight="1">
      <c r="A747" s="7"/>
      <c r="B747" s="7"/>
      <c r="C747" s="7"/>
    </row>
    <row r="748" ht="15.75" customHeight="1">
      <c r="A748" s="7"/>
      <c r="B748" s="7"/>
      <c r="C748" s="7"/>
    </row>
    <row r="749" ht="15.75" customHeight="1">
      <c r="A749" s="7"/>
      <c r="B749" s="7"/>
      <c r="C749" s="7"/>
    </row>
    <row r="750" ht="15.75" customHeight="1">
      <c r="A750" s="7"/>
      <c r="B750" s="7"/>
      <c r="C750" s="7"/>
    </row>
    <row r="751" ht="15.75" customHeight="1">
      <c r="A751" s="7"/>
      <c r="B751" s="7"/>
      <c r="C751" s="7"/>
    </row>
    <row r="752" ht="15.75" customHeight="1">
      <c r="A752" s="7"/>
      <c r="B752" s="7"/>
      <c r="C752" s="7"/>
    </row>
    <row r="753" ht="15.75" customHeight="1">
      <c r="A753" s="7"/>
      <c r="B753" s="7"/>
      <c r="C753" s="7"/>
    </row>
    <row r="754" ht="15.75" customHeight="1">
      <c r="A754" s="7"/>
      <c r="B754" s="7"/>
      <c r="C754" s="7"/>
    </row>
    <row r="755" ht="15.75" customHeight="1">
      <c r="A755" s="7"/>
      <c r="B755" s="7"/>
      <c r="C755" s="7"/>
    </row>
    <row r="756" ht="15.75" customHeight="1">
      <c r="A756" s="7"/>
      <c r="B756" s="7"/>
      <c r="C756" s="7"/>
    </row>
    <row r="757" ht="15.75" customHeight="1">
      <c r="A757" s="7"/>
      <c r="B757" s="7"/>
      <c r="C757" s="7"/>
    </row>
    <row r="758" ht="15.75" customHeight="1">
      <c r="A758" s="7"/>
      <c r="B758" s="7"/>
      <c r="C758" s="7"/>
    </row>
    <row r="759" ht="15.75" customHeight="1">
      <c r="A759" s="7"/>
      <c r="B759" s="7"/>
      <c r="C759" s="7"/>
    </row>
    <row r="760" ht="15.75" customHeight="1">
      <c r="A760" s="7"/>
      <c r="B760" s="7"/>
      <c r="C760" s="7"/>
    </row>
    <row r="761" ht="15.75" customHeight="1">
      <c r="A761" s="7"/>
      <c r="B761" s="7"/>
      <c r="C761" s="7"/>
    </row>
    <row r="762" ht="15.75" customHeight="1">
      <c r="A762" s="7"/>
      <c r="B762" s="7"/>
      <c r="C762" s="7"/>
    </row>
    <row r="763" ht="15.75" customHeight="1">
      <c r="A763" s="7"/>
      <c r="B763" s="7"/>
      <c r="C763" s="7"/>
    </row>
    <row r="764" ht="15.75" customHeight="1">
      <c r="A764" s="7"/>
      <c r="B764" s="7"/>
      <c r="C764" s="7"/>
    </row>
    <row r="765" ht="15.75" customHeight="1">
      <c r="A765" s="7"/>
      <c r="B765" s="7"/>
      <c r="C765" s="7"/>
    </row>
    <row r="766" ht="15.75" customHeight="1">
      <c r="A766" s="7"/>
      <c r="B766" s="7"/>
      <c r="C766" s="7"/>
    </row>
    <row r="767" ht="15.75" customHeight="1">
      <c r="A767" s="7"/>
      <c r="B767" s="7"/>
      <c r="C767" s="7"/>
    </row>
    <row r="768" ht="15.75" customHeight="1">
      <c r="A768" s="7"/>
      <c r="B768" s="7"/>
      <c r="C768" s="7"/>
    </row>
    <row r="769" ht="15.75" customHeight="1">
      <c r="A769" s="7"/>
      <c r="B769" s="7"/>
      <c r="C769" s="7"/>
    </row>
    <row r="770" ht="15.75" customHeight="1">
      <c r="A770" s="7"/>
      <c r="B770" s="7"/>
      <c r="C770" s="7"/>
    </row>
    <row r="771" ht="15.75" customHeight="1">
      <c r="A771" s="7"/>
      <c r="B771" s="7"/>
      <c r="C771" s="7"/>
    </row>
    <row r="772" ht="15.75" customHeight="1">
      <c r="A772" s="7"/>
      <c r="B772" s="7"/>
      <c r="C772" s="7"/>
    </row>
    <row r="773" ht="15.75" customHeight="1">
      <c r="A773" s="7"/>
      <c r="B773" s="7"/>
      <c r="C773" s="7"/>
    </row>
    <row r="774" ht="15.75" customHeight="1">
      <c r="A774" s="7"/>
      <c r="B774" s="7"/>
      <c r="C774" s="7"/>
    </row>
    <row r="775" ht="15.75" customHeight="1">
      <c r="A775" s="7"/>
      <c r="B775" s="7"/>
      <c r="C775" s="7"/>
    </row>
    <row r="776" ht="15.75" customHeight="1">
      <c r="A776" s="7"/>
      <c r="B776" s="7"/>
      <c r="C776" s="7"/>
    </row>
    <row r="777" ht="15.75" customHeight="1">
      <c r="A777" s="7"/>
      <c r="B777" s="7"/>
      <c r="C777" s="7"/>
    </row>
    <row r="778" ht="15.75" customHeight="1">
      <c r="A778" s="7"/>
      <c r="B778" s="7"/>
      <c r="C778" s="7"/>
    </row>
    <row r="779" ht="15.75" customHeight="1">
      <c r="A779" s="7"/>
      <c r="B779" s="7"/>
      <c r="C779" s="7"/>
    </row>
    <row r="780" ht="15.75" customHeight="1">
      <c r="A780" s="7"/>
      <c r="B780" s="7"/>
      <c r="C780" s="7"/>
    </row>
    <row r="781" ht="15.75" customHeight="1">
      <c r="A781" s="7"/>
      <c r="B781" s="7"/>
      <c r="C781" s="7"/>
    </row>
    <row r="782" ht="15.75" customHeight="1">
      <c r="A782" s="7"/>
      <c r="B782" s="7"/>
      <c r="C782" s="7"/>
    </row>
    <row r="783" ht="15.75" customHeight="1">
      <c r="A783" s="7"/>
      <c r="B783" s="7"/>
      <c r="C783" s="7"/>
    </row>
    <row r="784" ht="15.75" customHeight="1">
      <c r="A784" s="7"/>
      <c r="B784" s="7"/>
      <c r="C784" s="7"/>
    </row>
    <row r="785" ht="15.75" customHeight="1">
      <c r="A785" s="7"/>
      <c r="B785" s="7"/>
      <c r="C785" s="7"/>
    </row>
    <row r="786" ht="15.75" customHeight="1">
      <c r="A786" s="7"/>
      <c r="B786" s="7"/>
      <c r="C786" s="7"/>
    </row>
    <row r="787" ht="15.75" customHeight="1">
      <c r="A787" s="7"/>
      <c r="B787" s="7"/>
      <c r="C787" s="7"/>
    </row>
    <row r="788" ht="15.75" customHeight="1">
      <c r="A788" s="7"/>
      <c r="B788" s="7"/>
      <c r="C788" s="7"/>
    </row>
    <row r="789" ht="15.75" customHeight="1">
      <c r="A789" s="7"/>
      <c r="B789" s="7"/>
      <c r="C789" s="7"/>
    </row>
    <row r="790" ht="15.75" customHeight="1">
      <c r="A790" s="7"/>
      <c r="B790" s="7"/>
      <c r="C790" s="7"/>
    </row>
    <row r="791" ht="15.75" customHeight="1">
      <c r="A791" s="7"/>
      <c r="B791" s="7"/>
      <c r="C791" s="7"/>
    </row>
    <row r="792" ht="15.75" customHeight="1">
      <c r="A792" s="7"/>
      <c r="B792" s="7"/>
      <c r="C792" s="7"/>
    </row>
    <row r="793" ht="15.75" customHeight="1">
      <c r="A793" s="7"/>
      <c r="B793" s="7"/>
      <c r="C793" s="7"/>
    </row>
    <row r="794" ht="15.75" customHeight="1">
      <c r="A794" s="7"/>
      <c r="B794" s="7"/>
      <c r="C794" s="7"/>
    </row>
    <row r="795" ht="15.75" customHeight="1">
      <c r="A795" s="7"/>
      <c r="B795" s="7"/>
      <c r="C795" s="7"/>
    </row>
    <row r="796" ht="15.75" customHeight="1">
      <c r="A796" s="7"/>
      <c r="B796" s="7"/>
      <c r="C796" s="7"/>
    </row>
    <row r="797" ht="15.75" customHeight="1">
      <c r="A797" s="7"/>
      <c r="B797" s="7"/>
      <c r="C797" s="7"/>
    </row>
    <row r="798" ht="15.75" customHeight="1">
      <c r="A798" s="7"/>
      <c r="B798" s="7"/>
      <c r="C798" s="7"/>
    </row>
    <row r="799" ht="15.75" customHeight="1">
      <c r="A799" s="7"/>
      <c r="B799" s="7"/>
      <c r="C799" s="7"/>
    </row>
    <row r="800" ht="15.75" customHeight="1">
      <c r="A800" s="7"/>
      <c r="B800" s="7"/>
      <c r="C800" s="7"/>
    </row>
    <row r="801" ht="15.75" customHeight="1">
      <c r="A801" s="7"/>
      <c r="B801" s="7"/>
      <c r="C801" s="7"/>
    </row>
    <row r="802" ht="15.75" customHeight="1">
      <c r="A802" s="7"/>
      <c r="B802" s="7"/>
      <c r="C802" s="7"/>
    </row>
    <row r="803" ht="15.75" customHeight="1">
      <c r="A803" s="7"/>
      <c r="B803" s="7"/>
      <c r="C803" s="7"/>
    </row>
    <row r="804" ht="15.75" customHeight="1">
      <c r="A804" s="7"/>
      <c r="B804" s="7"/>
      <c r="C804" s="7"/>
    </row>
    <row r="805" ht="15.75" customHeight="1">
      <c r="A805" s="7"/>
      <c r="B805" s="7"/>
      <c r="C805" s="7"/>
    </row>
    <row r="806" ht="15.75" customHeight="1">
      <c r="A806" s="7"/>
      <c r="B806" s="7"/>
      <c r="C806" s="7"/>
    </row>
    <row r="807" ht="15.75" customHeight="1">
      <c r="A807" s="7"/>
      <c r="B807" s="7"/>
      <c r="C807" s="7"/>
    </row>
    <row r="808" ht="15.75" customHeight="1">
      <c r="A808" s="7"/>
      <c r="B808" s="7"/>
      <c r="C808" s="7"/>
    </row>
    <row r="809" ht="15.75" customHeight="1">
      <c r="A809" s="7"/>
      <c r="B809" s="7"/>
      <c r="C809" s="7"/>
    </row>
    <row r="810" ht="15.75" customHeight="1">
      <c r="A810" s="7"/>
      <c r="B810" s="7"/>
      <c r="C810" s="7"/>
    </row>
    <row r="811" ht="15.75" customHeight="1">
      <c r="A811" s="7"/>
      <c r="B811" s="7"/>
      <c r="C811" s="7"/>
    </row>
    <row r="812" ht="15.75" customHeight="1">
      <c r="A812" s="7"/>
      <c r="B812" s="7"/>
      <c r="C812" s="7"/>
    </row>
    <row r="813" ht="15.75" customHeight="1">
      <c r="A813" s="7"/>
      <c r="B813" s="7"/>
      <c r="C813" s="7"/>
    </row>
    <row r="814" ht="15.75" customHeight="1">
      <c r="A814" s="7"/>
      <c r="B814" s="7"/>
      <c r="C814" s="7"/>
    </row>
    <row r="815" ht="15.75" customHeight="1">
      <c r="A815" s="7"/>
      <c r="B815" s="7"/>
      <c r="C815" s="7"/>
    </row>
    <row r="816" ht="15.75" customHeight="1">
      <c r="A816" s="7"/>
      <c r="B816" s="7"/>
      <c r="C816" s="7"/>
    </row>
    <row r="817" ht="15.75" customHeight="1">
      <c r="A817" s="7"/>
      <c r="B817" s="7"/>
      <c r="C817" s="7"/>
    </row>
    <row r="818" ht="15.75" customHeight="1">
      <c r="A818" s="7"/>
      <c r="B818" s="7"/>
      <c r="C818" s="7"/>
    </row>
    <row r="819" ht="15.75" customHeight="1">
      <c r="A819" s="7"/>
      <c r="B819" s="7"/>
      <c r="C819" s="7"/>
    </row>
    <row r="820" ht="15.75" customHeight="1">
      <c r="A820" s="7"/>
      <c r="B820" s="7"/>
      <c r="C820" s="7"/>
    </row>
    <row r="821" ht="15.75" customHeight="1">
      <c r="A821" s="7"/>
      <c r="B821" s="7"/>
      <c r="C821" s="7"/>
    </row>
    <row r="822" ht="15.75" customHeight="1">
      <c r="A822" s="7"/>
      <c r="B822" s="7"/>
      <c r="C822" s="7"/>
    </row>
    <row r="823" ht="15.75" customHeight="1">
      <c r="A823" s="7"/>
      <c r="B823" s="7"/>
      <c r="C823" s="7"/>
    </row>
    <row r="824" ht="15.75" customHeight="1">
      <c r="A824" s="7"/>
      <c r="B824" s="7"/>
      <c r="C824" s="7"/>
    </row>
    <row r="825" ht="15.75" customHeight="1">
      <c r="A825" s="7"/>
      <c r="B825" s="7"/>
      <c r="C825" s="7"/>
    </row>
    <row r="826" ht="15.75" customHeight="1">
      <c r="A826" s="7"/>
      <c r="B826" s="7"/>
      <c r="C826" s="7"/>
    </row>
    <row r="827" ht="15.75" customHeight="1">
      <c r="A827" s="7"/>
      <c r="B827" s="7"/>
      <c r="C827" s="7"/>
    </row>
    <row r="828" ht="15.75" customHeight="1">
      <c r="A828" s="7"/>
      <c r="B828" s="7"/>
      <c r="C828" s="7"/>
    </row>
    <row r="829" ht="15.75" customHeight="1">
      <c r="A829" s="7"/>
      <c r="B829" s="7"/>
      <c r="C829" s="7"/>
    </row>
    <row r="830" ht="15.75" customHeight="1">
      <c r="A830" s="7"/>
      <c r="B830" s="7"/>
      <c r="C830" s="7"/>
    </row>
    <row r="831" ht="15.75" customHeight="1">
      <c r="A831" s="7"/>
      <c r="B831" s="7"/>
      <c r="C831" s="7"/>
    </row>
    <row r="832" ht="15.75" customHeight="1">
      <c r="A832" s="7"/>
      <c r="B832" s="7"/>
      <c r="C832" s="7"/>
    </row>
    <row r="833" ht="15.75" customHeight="1">
      <c r="A833" s="7"/>
      <c r="B833" s="7"/>
      <c r="C833" s="7"/>
    </row>
    <row r="834" ht="15.75" customHeight="1">
      <c r="A834" s="7"/>
      <c r="B834" s="7"/>
      <c r="C834" s="7"/>
    </row>
    <row r="835" ht="15.75" customHeight="1">
      <c r="A835" s="7"/>
      <c r="B835" s="7"/>
      <c r="C835" s="7"/>
    </row>
    <row r="836" ht="15.75" customHeight="1">
      <c r="A836" s="7"/>
      <c r="B836" s="7"/>
      <c r="C836" s="7"/>
    </row>
    <row r="837" ht="15.75" customHeight="1">
      <c r="A837" s="7"/>
      <c r="B837" s="7"/>
      <c r="C837" s="7"/>
    </row>
    <row r="838" ht="15.75" customHeight="1">
      <c r="A838" s="7"/>
      <c r="B838" s="7"/>
      <c r="C838" s="7"/>
    </row>
    <row r="839" ht="15.75" customHeight="1">
      <c r="A839" s="7"/>
      <c r="B839" s="7"/>
      <c r="C839" s="7"/>
    </row>
    <row r="840" ht="15.75" customHeight="1">
      <c r="A840" s="7"/>
      <c r="B840" s="7"/>
      <c r="C840" s="7"/>
    </row>
    <row r="841" ht="15.75" customHeight="1">
      <c r="A841" s="7"/>
      <c r="B841" s="7"/>
      <c r="C841" s="7"/>
    </row>
    <row r="842" ht="15.75" customHeight="1">
      <c r="A842" s="7"/>
      <c r="B842" s="7"/>
      <c r="C842" s="7"/>
    </row>
    <row r="843" ht="15.75" customHeight="1">
      <c r="A843" s="7"/>
      <c r="B843" s="7"/>
      <c r="C843" s="7"/>
    </row>
    <row r="844" ht="15.75" customHeight="1">
      <c r="A844" s="7"/>
      <c r="B844" s="7"/>
      <c r="C844" s="7"/>
    </row>
    <row r="845" ht="15.75" customHeight="1">
      <c r="A845" s="7"/>
      <c r="B845" s="7"/>
      <c r="C845" s="7"/>
    </row>
    <row r="846" ht="15.75" customHeight="1">
      <c r="A846" s="7"/>
      <c r="B846" s="7"/>
      <c r="C846" s="7"/>
    </row>
    <row r="847" ht="15.75" customHeight="1">
      <c r="A847" s="7"/>
      <c r="B847" s="7"/>
      <c r="C847" s="7"/>
    </row>
    <row r="848" ht="15.75" customHeight="1">
      <c r="A848" s="7"/>
      <c r="B848" s="7"/>
      <c r="C848" s="7"/>
    </row>
    <row r="849" ht="15.75" customHeight="1">
      <c r="A849" s="7"/>
      <c r="B849" s="7"/>
      <c r="C849" s="7"/>
    </row>
    <row r="850" ht="15.75" customHeight="1">
      <c r="A850" s="7"/>
      <c r="B850" s="7"/>
      <c r="C850" s="7"/>
    </row>
    <row r="851" ht="15.75" customHeight="1">
      <c r="A851" s="7"/>
      <c r="B851" s="7"/>
      <c r="C851" s="7"/>
    </row>
    <row r="852" ht="15.75" customHeight="1">
      <c r="A852" s="7"/>
      <c r="B852" s="7"/>
      <c r="C852" s="7"/>
    </row>
    <row r="853" ht="15.75" customHeight="1">
      <c r="A853" s="7"/>
      <c r="B853" s="7"/>
      <c r="C853" s="7"/>
    </row>
    <row r="854" ht="15.75" customHeight="1">
      <c r="A854" s="7"/>
      <c r="B854" s="7"/>
      <c r="C854" s="7"/>
    </row>
    <row r="855" ht="15.75" customHeight="1">
      <c r="A855" s="7"/>
      <c r="B855" s="7"/>
      <c r="C855" s="7"/>
    </row>
    <row r="856" ht="15.75" customHeight="1">
      <c r="A856" s="7"/>
      <c r="B856" s="7"/>
      <c r="C856" s="7"/>
    </row>
    <row r="857" ht="15.75" customHeight="1">
      <c r="A857" s="7"/>
      <c r="B857" s="7"/>
      <c r="C857" s="7"/>
    </row>
    <row r="858" ht="15.75" customHeight="1">
      <c r="A858" s="7"/>
      <c r="B858" s="7"/>
      <c r="C858" s="7"/>
    </row>
    <row r="859" ht="15.75" customHeight="1">
      <c r="A859" s="7"/>
      <c r="B859" s="7"/>
      <c r="C859" s="7"/>
    </row>
    <row r="860" ht="15.75" customHeight="1">
      <c r="A860" s="7"/>
      <c r="B860" s="7"/>
      <c r="C860" s="7"/>
    </row>
    <row r="861" ht="15.75" customHeight="1">
      <c r="A861" s="7"/>
      <c r="B861" s="7"/>
      <c r="C861" s="7"/>
    </row>
    <row r="862" ht="15.75" customHeight="1">
      <c r="A862" s="7"/>
      <c r="B862" s="7"/>
      <c r="C862" s="7"/>
    </row>
    <row r="863" ht="15.75" customHeight="1">
      <c r="A863" s="7"/>
      <c r="B863" s="7"/>
      <c r="C863" s="7"/>
    </row>
    <row r="864" ht="15.75" customHeight="1">
      <c r="A864" s="7"/>
      <c r="B864" s="7"/>
      <c r="C864" s="7"/>
    </row>
    <row r="865" ht="15.75" customHeight="1">
      <c r="A865" s="7"/>
      <c r="B865" s="7"/>
      <c r="C865" s="7"/>
    </row>
    <row r="866" ht="15.75" customHeight="1">
      <c r="A866" s="7"/>
      <c r="B866" s="7"/>
      <c r="C866" s="7"/>
    </row>
    <row r="867" ht="15.75" customHeight="1">
      <c r="A867" s="7"/>
      <c r="B867" s="7"/>
      <c r="C867" s="7"/>
    </row>
    <row r="868" ht="15.75" customHeight="1">
      <c r="A868" s="7"/>
      <c r="B868" s="7"/>
      <c r="C868" s="7"/>
    </row>
    <row r="869" ht="15.75" customHeight="1">
      <c r="A869" s="7"/>
      <c r="B869" s="7"/>
      <c r="C869" s="7"/>
    </row>
    <row r="870" ht="15.75" customHeight="1">
      <c r="A870" s="7"/>
      <c r="B870" s="7"/>
      <c r="C870" s="7"/>
    </row>
    <row r="871" ht="15.75" customHeight="1">
      <c r="A871" s="7"/>
      <c r="B871" s="7"/>
      <c r="C871" s="7"/>
    </row>
    <row r="872" ht="15.75" customHeight="1">
      <c r="A872" s="7"/>
      <c r="B872" s="7"/>
      <c r="C872" s="7"/>
    </row>
    <row r="873" ht="15.75" customHeight="1">
      <c r="A873" s="7"/>
      <c r="B873" s="7"/>
      <c r="C873" s="7"/>
    </row>
    <row r="874" ht="15.75" customHeight="1">
      <c r="A874" s="7"/>
      <c r="B874" s="7"/>
      <c r="C874" s="7"/>
    </row>
    <row r="875" ht="15.75" customHeight="1">
      <c r="A875" s="7"/>
      <c r="B875" s="7"/>
      <c r="C875" s="7"/>
    </row>
    <row r="876" ht="15.75" customHeight="1">
      <c r="A876" s="7"/>
      <c r="B876" s="7"/>
      <c r="C876" s="7"/>
    </row>
    <row r="877" ht="15.75" customHeight="1">
      <c r="A877" s="7"/>
      <c r="B877" s="7"/>
      <c r="C877" s="7"/>
    </row>
    <row r="878" ht="15.75" customHeight="1">
      <c r="A878" s="7"/>
      <c r="B878" s="7"/>
      <c r="C878" s="7"/>
    </row>
    <row r="879" ht="15.75" customHeight="1">
      <c r="A879" s="7"/>
      <c r="B879" s="7"/>
      <c r="C879" s="7"/>
    </row>
    <row r="880" ht="15.75" customHeight="1">
      <c r="A880" s="7"/>
      <c r="B880" s="7"/>
      <c r="C880" s="7"/>
    </row>
    <row r="881" ht="15.75" customHeight="1">
      <c r="A881" s="7"/>
      <c r="B881" s="7"/>
      <c r="C881" s="7"/>
    </row>
    <row r="882" ht="15.75" customHeight="1">
      <c r="A882" s="7"/>
      <c r="B882" s="7"/>
      <c r="C882" s="7"/>
    </row>
    <row r="883" ht="15.75" customHeight="1">
      <c r="A883" s="7"/>
      <c r="B883" s="7"/>
      <c r="C883" s="7"/>
    </row>
    <row r="884" ht="15.75" customHeight="1">
      <c r="A884" s="7"/>
      <c r="B884" s="7"/>
      <c r="C884" s="7"/>
    </row>
    <row r="885" ht="15.75" customHeight="1">
      <c r="A885" s="7"/>
      <c r="B885" s="7"/>
      <c r="C885" s="7"/>
    </row>
    <row r="886" ht="15.75" customHeight="1">
      <c r="A886" s="7"/>
      <c r="B886" s="7"/>
      <c r="C886" s="7"/>
    </row>
    <row r="887" ht="15.75" customHeight="1">
      <c r="A887" s="7"/>
      <c r="B887" s="7"/>
      <c r="C887" s="7"/>
    </row>
    <row r="888" ht="15.75" customHeight="1">
      <c r="A888" s="7"/>
      <c r="B888" s="7"/>
      <c r="C888" s="7"/>
    </row>
    <row r="889" ht="15.75" customHeight="1">
      <c r="A889" s="7"/>
      <c r="B889" s="7"/>
      <c r="C889" s="7"/>
    </row>
    <row r="890" ht="15.75" customHeight="1">
      <c r="A890" s="7"/>
      <c r="B890" s="7"/>
      <c r="C890" s="7"/>
    </row>
    <row r="891" ht="15.75" customHeight="1">
      <c r="A891" s="7"/>
      <c r="B891" s="7"/>
      <c r="C891" s="7"/>
    </row>
    <row r="892" ht="15.75" customHeight="1">
      <c r="A892" s="7"/>
      <c r="B892" s="7"/>
      <c r="C892" s="7"/>
    </row>
    <row r="893" ht="15.75" customHeight="1">
      <c r="A893" s="7"/>
      <c r="B893" s="7"/>
      <c r="C893" s="7"/>
    </row>
    <row r="894" ht="15.75" customHeight="1">
      <c r="A894" s="7"/>
      <c r="B894" s="7"/>
      <c r="C894" s="7"/>
    </row>
    <row r="895" ht="15.75" customHeight="1">
      <c r="A895" s="7"/>
      <c r="B895" s="7"/>
      <c r="C895" s="7"/>
    </row>
    <row r="896" ht="15.75" customHeight="1">
      <c r="A896" s="7"/>
      <c r="B896" s="7"/>
      <c r="C896" s="7"/>
    </row>
    <row r="897" ht="15.75" customHeight="1">
      <c r="A897" s="7"/>
      <c r="B897" s="7"/>
      <c r="C897" s="7"/>
    </row>
    <row r="898" ht="15.75" customHeight="1">
      <c r="A898" s="7"/>
      <c r="B898" s="7"/>
      <c r="C898" s="7"/>
    </row>
    <row r="899" ht="15.75" customHeight="1">
      <c r="A899" s="7"/>
      <c r="B899" s="7"/>
      <c r="C899" s="7"/>
    </row>
    <row r="900" ht="15.75" customHeight="1">
      <c r="A900" s="7"/>
      <c r="B900" s="7"/>
      <c r="C900" s="7"/>
    </row>
    <row r="901" ht="15.75" customHeight="1">
      <c r="A901" s="7"/>
      <c r="B901" s="7"/>
      <c r="C901" s="7"/>
    </row>
    <row r="902" ht="15.75" customHeight="1">
      <c r="A902" s="7"/>
      <c r="B902" s="7"/>
      <c r="C902" s="7"/>
    </row>
    <row r="903" ht="15.75" customHeight="1">
      <c r="A903" s="7"/>
      <c r="B903" s="7"/>
      <c r="C903" s="7"/>
    </row>
    <row r="904" ht="15.75" customHeight="1">
      <c r="A904" s="7"/>
      <c r="B904" s="7"/>
      <c r="C904" s="7"/>
    </row>
    <row r="905" ht="15.75" customHeight="1">
      <c r="A905" s="7"/>
      <c r="B905" s="7"/>
      <c r="C905" s="7"/>
    </row>
    <row r="906" ht="15.75" customHeight="1">
      <c r="A906" s="7"/>
      <c r="B906" s="7"/>
      <c r="C906" s="7"/>
    </row>
    <row r="907" ht="15.75" customHeight="1">
      <c r="A907" s="7"/>
      <c r="B907" s="7"/>
      <c r="C907" s="7"/>
    </row>
    <row r="908" ht="15.75" customHeight="1">
      <c r="A908" s="7"/>
      <c r="B908" s="7"/>
      <c r="C908" s="7"/>
    </row>
    <row r="909" ht="15.75" customHeight="1">
      <c r="A909" s="7"/>
      <c r="B909" s="7"/>
      <c r="C909" s="7"/>
    </row>
    <row r="910" ht="15.75" customHeight="1">
      <c r="A910" s="7"/>
      <c r="B910" s="7"/>
      <c r="C910" s="7"/>
    </row>
    <row r="911" ht="15.75" customHeight="1">
      <c r="A911" s="7"/>
      <c r="B911" s="7"/>
      <c r="C911" s="7"/>
    </row>
    <row r="912" ht="15.75" customHeight="1">
      <c r="A912" s="7"/>
      <c r="B912" s="7"/>
      <c r="C912" s="7"/>
    </row>
    <row r="913" ht="15.75" customHeight="1">
      <c r="A913" s="7"/>
      <c r="B913" s="7"/>
      <c r="C913" s="7"/>
    </row>
    <row r="914" ht="15.75" customHeight="1">
      <c r="A914" s="7"/>
      <c r="B914" s="7"/>
      <c r="C914" s="7"/>
    </row>
    <row r="915" ht="15.75" customHeight="1">
      <c r="A915" s="7"/>
      <c r="B915" s="7"/>
      <c r="C915" s="7"/>
    </row>
    <row r="916" ht="15.75" customHeight="1">
      <c r="A916" s="7"/>
      <c r="B916" s="7"/>
      <c r="C916" s="7"/>
    </row>
    <row r="917" ht="15.75" customHeight="1">
      <c r="A917" s="7"/>
      <c r="B917" s="7"/>
      <c r="C917" s="7"/>
    </row>
    <row r="918" ht="15.75" customHeight="1">
      <c r="A918" s="7"/>
      <c r="B918" s="7"/>
      <c r="C918" s="7"/>
    </row>
    <row r="919" ht="15.75" customHeight="1">
      <c r="A919" s="7"/>
      <c r="B919" s="7"/>
      <c r="C919" s="7"/>
    </row>
    <row r="920" ht="15.75" customHeight="1">
      <c r="A920" s="7"/>
      <c r="B920" s="7"/>
      <c r="C920" s="7"/>
    </row>
    <row r="921" ht="15.75" customHeight="1">
      <c r="A921" s="7"/>
      <c r="B921" s="7"/>
      <c r="C921" s="7"/>
    </row>
    <row r="922" ht="15.75" customHeight="1">
      <c r="A922" s="7"/>
      <c r="B922" s="7"/>
      <c r="C922" s="7"/>
    </row>
    <row r="923" ht="15.75" customHeight="1">
      <c r="A923" s="7"/>
      <c r="B923" s="7"/>
      <c r="C923" s="7"/>
    </row>
    <row r="924" ht="15.75" customHeight="1">
      <c r="A924" s="7"/>
      <c r="B924" s="7"/>
      <c r="C924" s="7"/>
    </row>
    <row r="925" ht="15.75" customHeight="1">
      <c r="A925" s="7"/>
      <c r="B925" s="7"/>
      <c r="C925" s="7"/>
    </row>
    <row r="926" ht="15.75" customHeight="1">
      <c r="A926" s="7"/>
      <c r="B926" s="7"/>
      <c r="C926" s="7"/>
    </row>
    <row r="927" ht="15.75" customHeight="1">
      <c r="A927" s="7"/>
      <c r="B927" s="7"/>
      <c r="C927" s="7"/>
    </row>
    <row r="928" ht="15.75" customHeight="1">
      <c r="A928" s="7"/>
      <c r="B928" s="7"/>
      <c r="C928" s="7"/>
    </row>
    <row r="929" ht="15.75" customHeight="1">
      <c r="A929" s="7"/>
      <c r="B929" s="7"/>
      <c r="C929" s="7"/>
    </row>
    <row r="930" ht="15.75" customHeight="1">
      <c r="A930" s="7"/>
      <c r="B930" s="7"/>
      <c r="C930" s="7"/>
    </row>
    <row r="931" ht="15.75" customHeight="1">
      <c r="A931" s="7"/>
      <c r="B931" s="7"/>
      <c r="C931" s="7"/>
    </row>
    <row r="932" ht="15.75" customHeight="1">
      <c r="A932" s="7"/>
      <c r="B932" s="7"/>
      <c r="C932" s="7"/>
    </row>
    <row r="933" ht="15.75" customHeight="1">
      <c r="A933" s="7"/>
      <c r="B933" s="7"/>
      <c r="C933" s="7"/>
    </row>
    <row r="934" ht="15.75" customHeight="1">
      <c r="A934" s="7"/>
      <c r="B934" s="7"/>
      <c r="C934" s="7"/>
    </row>
    <row r="935" ht="15.75" customHeight="1">
      <c r="A935" s="7"/>
      <c r="B935" s="7"/>
      <c r="C935" s="7"/>
    </row>
    <row r="936" ht="15.75" customHeight="1">
      <c r="A936" s="7"/>
      <c r="B936" s="7"/>
      <c r="C936" s="7"/>
    </row>
    <row r="937" ht="15.75" customHeight="1">
      <c r="A937" s="7"/>
      <c r="B937" s="7"/>
      <c r="C937" s="7"/>
    </row>
    <row r="938" ht="15.75" customHeight="1">
      <c r="A938" s="7"/>
      <c r="B938" s="7"/>
      <c r="C938" s="7"/>
    </row>
    <row r="939" ht="15.75" customHeight="1">
      <c r="A939" s="7"/>
      <c r="B939" s="7"/>
      <c r="C939" s="7"/>
    </row>
    <row r="940" ht="15.75" customHeight="1">
      <c r="A940" s="7"/>
      <c r="B940" s="7"/>
      <c r="C940" s="7"/>
    </row>
    <row r="941" ht="15.75" customHeight="1">
      <c r="A941" s="7"/>
      <c r="B941" s="7"/>
      <c r="C941" s="7"/>
    </row>
    <row r="942" ht="15.75" customHeight="1">
      <c r="A942" s="7"/>
      <c r="B942" s="7"/>
      <c r="C942" s="7"/>
    </row>
    <row r="943" ht="15.75" customHeight="1">
      <c r="A943" s="7"/>
      <c r="B943" s="7"/>
      <c r="C943" s="7"/>
    </row>
    <row r="944" ht="15.75" customHeight="1">
      <c r="A944" s="7"/>
      <c r="B944" s="7"/>
      <c r="C944" s="7"/>
    </row>
    <row r="945" ht="15.75" customHeight="1">
      <c r="A945" s="7"/>
      <c r="B945" s="7"/>
      <c r="C945" s="7"/>
    </row>
    <row r="946" ht="15.75" customHeight="1">
      <c r="A946" s="7"/>
      <c r="B946" s="7"/>
      <c r="C946" s="7"/>
    </row>
    <row r="947" ht="15.75" customHeight="1">
      <c r="A947" s="7"/>
      <c r="B947" s="7"/>
      <c r="C947" s="7"/>
    </row>
    <row r="948" ht="15.75" customHeight="1">
      <c r="A948" s="7"/>
      <c r="B948" s="7"/>
      <c r="C948" s="7"/>
    </row>
    <row r="949" ht="15.75" customHeight="1">
      <c r="A949" s="7"/>
      <c r="B949" s="7"/>
      <c r="C949" s="7"/>
    </row>
    <row r="950" ht="15.75" customHeight="1">
      <c r="A950" s="7"/>
      <c r="B950" s="7"/>
      <c r="C950" s="7"/>
    </row>
    <row r="951" ht="15.75" customHeight="1">
      <c r="A951" s="7"/>
      <c r="B951" s="7"/>
      <c r="C951" s="7"/>
    </row>
    <row r="952" ht="15.75" customHeight="1">
      <c r="A952" s="7"/>
      <c r="B952" s="7"/>
      <c r="C952" s="7"/>
    </row>
    <row r="953" ht="15.75" customHeight="1">
      <c r="A953" s="7"/>
      <c r="B953" s="7"/>
      <c r="C953" s="7"/>
    </row>
    <row r="954" ht="15.75" customHeight="1">
      <c r="A954" s="7"/>
      <c r="B954" s="7"/>
      <c r="C954" s="7"/>
    </row>
    <row r="955" ht="15.75" customHeight="1">
      <c r="A955" s="7"/>
      <c r="B955" s="7"/>
      <c r="C955" s="7"/>
    </row>
    <row r="956" ht="15.75" customHeight="1">
      <c r="A956" s="7"/>
      <c r="B956" s="7"/>
      <c r="C956" s="7"/>
    </row>
    <row r="957" ht="15.75" customHeight="1">
      <c r="A957" s="7"/>
      <c r="B957" s="7"/>
      <c r="C957" s="7"/>
    </row>
    <row r="958" ht="15.75" customHeight="1">
      <c r="A958" s="7"/>
      <c r="B958" s="7"/>
      <c r="C958" s="7"/>
    </row>
    <row r="959" ht="15.75" customHeight="1">
      <c r="A959" s="7"/>
      <c r="B959" s="7"/>
      <c r="C959" s="7"/>
    </row>
    <row r="960" ht="15.75" customHeight="1">
      <c r="A960" s="7"/>
      <c r="B960" s="7"/>
      <c r="C960" s="7"/>
    </row>
    <row r="961" ht="15.75" customHeight="1">
      <c r="A961" s="7"/>
      <c r="B961" s="7"/>
      <c r="C961" s="7"/>
    </row>
    <row r="962" ht="15.75" customHeight="1">
      <c r="A962" s="7"/>
      <c r="B962" s="7"/>
      <c r="C962" s="7"/>
    </row>
    <row r="963" ht="15.75" customHeight="1">
      <c r="A963" s="7"/>
      <c r="B963" s="7"/>
      <c r="C963" s="7"/>
    </row>
    <row r="964" ht="15.75" customHeight="1">
      <c r="A964" s="7"/>
      <c r="B964" s="7"/>
      <c r="C964" s="7"/>
    </row>
    <row r="965" ht="15.75" customHeight="1">
      <c r="A965" s="7"/>
      <c r="B965" s="7"/>
      <c r="C965" s="7"/>
    </row>
    <row r="966" ht="15.75" customHeight="1">
      <c r="A966" s="7"/>
      <c r="B966" s="7"/>
      <c r="C966" s="7"/>
    </row>
    <row r="967" ht="15.75" customHeight="1">
      <c r="A967" s="7"/>
      <c r="B967" s="7"/>
      <c r="C967" s="7"/>
    </row>
    <row r="968" ht="15.75" customHeight="1">
      <c r="A968" s="7"/>
      <c r="B968" s="7"/>
      <c r="C968" s="7"/>
    </row>
    <row r="969" ht="15.75" customHeight="1">
      <c r="A969" s="7"/>
      <c r="B969" s="7"/>
      <c r="C969" s="7"/>
    </row>
    <row r="970" ht="15.75" customHeight="1">
      <c r="A970" s="7"/>
      <c r="B970" s="7"/>
      <c r="C970" s="7"/>
    </row>
    <row r="971" ht="15.75" customHeight="1">
      <c r="A971" s="7"/>
      <c r="B971" s="7"/>
      <c r="C971" s="7"/>
    </row>
    <row r="972" ht="15.75" customHeight="1">
      <c r="A972" s="7"/>
      <c r="B972" s="7"/>
      <c r="C972" s="7"/>
    </row>
    <row r="973" ht="15.75" customHeight="1">
      <c r="A973" s="7"/>
      <c r="B973" s="7"/>
      <c r="C973" s="7"/>
    </row>
    <row r="974" ht="15.75" customHeight="1">
      <c r="A974" s="7"/>
      <c r="B974" s="7"/>
      <c r="C974" s="7"/>
    </row>
    <row r="975" ht="15.75" customHeight="1">
      <c r="A975" s="7"/>
      <c r="B975" s="7"/>
      <c r="C975" s="7"/>
    </row>
    <row r="976" ht="15.75" customHeight="1">
      <c r="A976" s="7"/>
      <c r="B976" s="7"/>
      <c r="C976" s="7"/>
    </row>
    <row r="977" ht="15.75" customHeight="1">
      <c r="A977" s="7"/>
      <c r="B977" s="7"/>
      <c r="C977" s="7"/>
    </row>
    <row r="978" ht="15.75" customHeight="1">
      <c r="A978" s="7"/>
      <c r="B978" s="7"/>
      <c r="C978" s="7"/>
    </row>
    <row r="979" ht="15.75" customHeight="1">
      <c r="A979" s="7"/>
      <c r="B979" s="7"/>
      <c r="C979" s="7"/>
    </row>
    <row r="980" ht="15.75" customHeight="1">
      <c r="A980" s="7"/>
      <c r="B980" s="7"/>
      <c r="C980" s="7"/>
    </row>
    <row r="981" ht="15.75" customHeight="1">
      <c r="A981" s="7"/>
      <c r="B981" s="7"/>
      <c r="C981" s="7"/>
    </row>
    <row r="982" ht="15.75" customHeight="1">
      <c r="A982" s="7"/>
      <c r="B982" s="7"/>
      <c r="C982" s="7"/>
    </row>
    <row r="983" ht="15.75" customHeight="1">
      <c r="A983" s="7"/>
      <c r="B983" s="7"/>
      <c r="C983" s="7"/>
    </row>
    <row r="984" ht="15.75" customHeight="1">
      <c r="A984" s="7"/>
      <c r="B984" s="7"/>
      <c r="C984" s="7"/>
    </row>
    <row r="985" ht="15.75" customHeight="1">
      <c r="A985" s="7"/>
      <c r="B985" s="7"/>
      <c r="C985" s="7"/>
    </row>
    <row r="986" ht="15.75" customHeight="1">
      <c r="A986" s="7"/>
      <c r="B986" s="7"/>
      <c r="C986" s="7"/>
    </row>
    <row r="987" ht="15.75" customHeight="1">
      <c r="A987" s="7"/>
      <c r="B987" s="7"/>
      <c r="C987" s="7"/>
    </row>
    <row r="988" ht="15.75" customHeight="1">
      <c r="A988" s="7"/>
      <c r="B988" s="7"/>
      <c r="C988" s="7"/>
    </row>
    <row r="989" ht="15.75" customHeight="1">
      <c r="A989" s="7"/>
      <c r="B989" s="7"/>
      <c r="C989" s="7"/>
    </row>
    <row r="990" ht="15.75" customHeight="1">
      <c r="A990" s="7"/>
      <c r="B990" s="7"/>
      <c r="C990" s="7"/>
    </row>
    <row r="991" ht="15.75" customHeight="1">
      <c r="A991" s="7"/>
      <c r="B991" s="7"/>
      <c r="C991" s="7"/>
    </row>
    <row r="992" ht="15.75" customHeight="1">
      <c r="A992" s="7"/>
      <c r="B992" s="7"/>
      <c r="C992" s="7"/>
    </row>
    <row r="993" ht="15.75" customHeight="1">
      <c r="A993" s="7"/>
      <c r="B993" s="7"/>
      <c r="C993" s="7"/>
    </row>
    <row r="994" ht="15.75" customHeight="1">
      <c r="A994" s="7"/>
      <c r="B994" s="7"/>
      <c r="C994" s="7"/>
    </row>
    <row r="995" ht="15.75" customHeight="1">
      <c r="A995" s="7"/>
      <c r="B995" s="7"/>
      <c r="C995" s="7"/>
    </row>
    <row r="996" ht="15.75" customHeight="1">
      <c r="A996" s="7"/>
      <c r="B996" s="7"/>
      <c r="C996" s="7"/>
    </row>
    <row r="997" ht="15.75" customHeight="1">
      <c r="A997" s="7"/>
      <c r="B997" s="7"/>
      <c r="C997" s="7"/>
    </row>
    <row r="998" ht="15.75" customHeight="1">
      <c r="A998" s="7"/>
      <c r="B998" s="7"/>
      <c r="C998" s="7"/>
    </row>
    <row r="999" ht="15.75" customHeight="1">
      <c r="A999" s="7"/>
      <c r="B999" s="7"/>
      <c r="C999" s="7"/>
    </row>
    <row r="1000" ht="15.75" customHeight="1">
      <c r="A1000" s="7"/>
      <c r="B1000" s="7"/>
      <c r="C1000" s="7"/>
    </row>
  </sheetData>
  <mergeCells count="1">
    <mergeCell ref="A1:C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8.0"/>
    <col customWidth="1" min="2" max="2" width="18.0"/>
    <col customWidth="1" min="3" max="3" width="28.0"/>
    <col customWidth="1" min="4" max="4" width="46.0"/>
    <col customWidth="1" min="5" max="26" width="8.71"/>
  </cols>
  <sheetData>
    <row r="1" ht="31.5" customHeight="1">
      <c r="A1" s="8" t="s">
        <v>30</v>
      </c>
      <c r="B1" s="2"/>
      <c r="C1" s="2"/>
      <c r="D1" s="3"/>
    </row>
    <row r="2">
      <c r="A2" s="7"/>
      <c r="B2" s="7"/>
      <c r="C2" s="7"/>
      <c r="D2" s="7"/>
    </row>
    <row r="3" ht="19.5" customHeight="1">
      <c r="A3" s="9" t="s">
        <v>31</v>
      </c>
      <c r="B3" s="2"/>
      <c r="C3" s="2"/>
      <c r="D3" s="3"/>
    </row>
    <row r="4" ht="21.75" customHeight="1">
      <c r="A4" s="10" t="s">
        <v>32</v>
      </c>
      <c r="B4" s="11">
        <v>500.0</v>
      </c>
      <c r="C4" s="12" t="s">
        <v>33</v>
      </c>
      <c r="D4" s="13" t="s">
        <v>34</v>
      </c>
    </row>
    <row r="5" ht="21.75" customHeight="1">
      <c r="A5" s="10" t="s">
        <v>35</v>
      </c>
      <c r="B5" s="11">
        <v>42.0</v>
      </c>
      <c r="C5" s="7"/>
      <c r="D5" s="13" t="s">
        <v>36</v>
      </c>
    </row>
    <row r="6">
      <c r="A6" s="7"/>
      <c r="B6" s="7"/>
      <c r="C6" s="7"/>
      <c r="D6" s="7"/>
    </row>
    <row r="7" ht="19.5" customHeight="1">
      <c r="A7" s="9" t="s">
        <v>37</v>
      </c>
      <c r="B7" s="2"/>
      <c r="C7" s="2"/>
      <c r="D7" s="3"/>
    </row>
    <row r="8" ht="21.75" customHeight="1">
      <c r="A8" s="10" t="s">
        <v>38</v>
      </c>
      <c r="B8" s="14">
        <v>0.3</v>
      </c>
      <c r="C8" s="12" t="s">
        <v>39</v>
      </c>
      <c r="D8" s="13" t="s">
        <v>40</v>
      </c>
    </row>
    <row r="9" ht="21.75" customHeight="1">
      <c r="A9" s="10" t="s">
        <v>41</v>
      </c>
      <c r="B9" s="14">
        <v>0.35</v>
      </c>
      <c r="C9" s="12" t="s">
        <v>42</v>
      </c>
      <c r="D9" s="13" t="s">
        <v>43</v>
      </c>
    </row>
    <row r="10">
      <c r="A10" s="7"/>
      <c r="B10" s="7"/>
      <c r="C10" s="7"/>
      <c r="D10" s="7"/>
    </row>
    <row r="11" ht="19.5" customHeight="1">
      <c r="A11" s="9" t="s">
        <v>44</v>
      </c>
      <c r="B11" s="2"/>
      <c r="C11" s="2"/>
      <c r="D11" s="3"/>
    </row>
    <row r="12" ht="21.75" customHeight="1">
      <c r="A12" s="10" t="s">
        <v>45</v>
      </c>
      <c r="B12" s="15">
        <v>1000000.0</v>
      </c>
      <c r="C12" s="7"/>
      <c r="D12" s="13" t="s">
        <v>46</v>
      </c>
    </row>
    <row r="13" ht="21.75" customHeight="1">
      <c r="A13" s="10" t="s">
        <v>47</v>
      </c>
      <c r="B13" s="15">
        <v>1500000.0</v>
      </c>
      <c r="C13" s="7"/>
      <c r="D13" s="13" t="s">
        <v>48</v>
      </c>
    </row>
    <row r="14" ht="21.75" customHeight="1">
      <c r="A14" s="10" t="s">
        <v>49</v>
      </c>
      <c r="B14" s="15">
        <v>2300000.0</v>
      </c>
      <c r="C14" s="7"/>
      <c r="D14" s="13" t="s">
        <v>50</v>
      </c>
    </row>
    <row r="15">
      <c r="A15" s="7"/>
      <c r="B15" s="7"/>
      <c r="C15" s="7"/>
      <c r="D15" s="7"/>
    </row>
    <row r="16">
      <c r="A16" s="7"/>
      <c r="B16" s="7"/>
      <c r="C16" s="7"/>
      <c r="D16" s="7"/>
    </row>
    <row r="17">
      <c r="A17" s="7"/>
      <c r="B17" s="7"/>
      <c r="C17" s="7"/>
      <c r="D17" s="7"/>
    </row>
    <row r="18">
      <c r="A18" s="7"/>
      <c r="B18" s="7"/>
      <c r="C18" s="7"/>
      <c r="D18" s="7"/>
    </row>
    <row r="19">
      <c r="A19" s="7"/>
      <c r="B19" s="7"/>
      <c r="C19" s="7"/>
      <c r="D19" s="7"/>
    </row>
    <row r="20">
      <c r="A20" s="7"/>
      <c r="B20" s="7"/>
      <c r="C20" s="7"/>
      <c r="D20" s="7"/>
    </row>
    <row r="21" ht="15.75" customHeight="1">
      <c r="A21" s="7"/>
      <c r="B21" s="7"/>
      <c r="C21" s="7"/>
      <c r="D21" s="7"/>
    </row>
    <row r="22" ht="15.75" customHeight="1">
      <c r="A22" s="7"/>
      <c r="B22" s="7"/>
      <c r="C22" s="7"/>
      <c r="D22" s="7"/>
    </row>
    <row r="23" ht="15.75" customHeight="1">
      <c r="A23" s="7"/>
      <c r="B23" s="7"/>
      <c r="C23" s="7"/>
      <c r="D23" s="7"/>
    </row>
    <row r="24" ht="15.75" customHeight="1">
      <c r="A24" s="7"/>
      <c r="B24" s="7"/>
      <c r="C24" s="7"/>
      <c r="D24" s="7"/>
    </row>
    <row r="25" ht="15.75" customHeight="1">
      <c r="A25" s="7"/>
      <c r="B25" s="7"/>
      <c r="C25" s="7"/>
      <c r="D25" s="7"/>
    </row>
    <row r="26" ht="15.75" customHeight="1">
      <c r="A26" s="7"/>
      <c r="B26" s="7"/>
      <c r="C26" s="7"/>
      <c r="D26" s="7"/>
    </row>
    <row r="27" ht="15.75" customHeight="1">
      <c r="A27" s="7"/>
      <c r="B27" s="7"/>
      <c r="C27" s="7"/>
      <c r="D27" s="7"/>
    </row>
    <row r="28" ht="15.75" customHeight="1">
      <c r="A28" s="7"/>
      <c r="B28" s="7"/>
      <c r="C28" s="7"/>
      <c r="D28" s="7"/>
    </row>
    <row r="29" ht="15.75" customHeight="1">
      <c r="A29" s="7"/>
      <c r="B29" s="7"/>
      <c r="C29" s="7"/>
      <c r="D29" s="7"/>
    </row>
    <row r="30" ht="15.75" customHeight="1">
      <c r="A30" s="7"/>
      <c r="B30" s="7"/>
      <c r="C30" s="7"/>
      <c r="D30" s="7"/>
    </row>
    <row r="31" ht="15.75" customHeight="1">
      <c r="A31" s="7"/>
      <c r="B31" s="7"/>
      <c r="C31" s="7"/>
      <c r="D31" s="7"/>
    </row>
    <row r="32" ht="15.75" customHeight="1">
      <c r="A32" s="7"/>
      <c r="B32" s="7"/>
      <c r="C32" s="7"/>
      <c r="D32" s="7"/>
    </row>
    <row r="33" ht="15.75" customHeight="1">
      <c r="A33" s="7"/>
      <c r="B33" s="7"/>
      <c r="C33" s="7"/>
      <c r="D33" s="7"/>
    </row>
    <row r="34" ht="15.75" customHeight="1">
      <c r="A34" s="7"/>
      <c r="B34" s="7"/>
      <c r="C34" s="7"/>
      <c r="D34" s="7"/>
    </row>
    <row r="35" ht="15.75" customHeight="1">
      <c r="A35" s="7"/>
      <c r="B35" s="7"/>
      <c r="C35" s="7"/>
      <c r="D35" s="7"/>
    </row>
    <row r="36" ht="15.75" customHeight="1">
      <c r="A36" s="7"/>
      <c r="B36" s="7"/>
      <c r="C36" s="7"/>
      <c r="D36" s="7"/>
    </row>
    <row r="37" ht="15.75" customHeight="1">
      <c r="A37" s="7"/>
      <c r="B37" s="7"/>
      <c r="C37" s="7"/>
      <c r="D37" s="7"/>
    </row>
    <row r="38" ht="15.75" customHeight="1">
      <c r="A38" s="7"/>
      <c r="B38" s="7"/>
      <c r="C38" s="7"/>
      <c r="D38" s="7"/>
    </row>
    <row r="39" ht="15.75" customHeight="1">
      <c r="A39" s="7"/>
      <c r="B39" s="7"/>
      <c r="C39" s="7"/>
      <c r="D39" s="7"/>
    </row>
    <row r="40" ht="15.75" customHeight="1">
      <c r="A40" s="7"/>
      <c r="B40" s="7"/>
      <c r="C40" s="7"/>
      <c r="D40" s="7"/>
    </row>
    <row r="41" ht="15.75" customHeight="1">
      <c r="A41" s="7"/>
      <c r="B41" s="7"/>
      <c r="C41" s="7"/>
      <c r="D41" s="7"/>
    </row>
    <row r="42" ht="15.75" customHeight="1">
      <c r="A42" s="7"/>
      <c r="B42" s="7"/>
      <c r="C42" s="7"/>
      <c r="D42" s="7"/>
    </row>
    <row r="43" ht="15.75" customHeight="1">
      <c r="A43" s="7"/>
      <c r="B43" s="7"/>
      <c r="C43" s="7"/>
      <c r="D43" s="7"/>
    </row>
    <row r="44" ht="15.75" customHeight="1">
      <c r="A44" s="7"/>
      <c r="B44" s="7"/>
      <c r="C44" s="7"/>
      <c r="D44" s="7"/>
    </row>
    <row r="45" ht="15.75" customHeight="1">
      <c r="A45" s="7"/>
      <c r="B45" s="7"/>
      <c r="C45" s="7"/>
      <c r="D45" s="7"/>
    </row>
    <row r="46" ht="15.75" customHeight="1">
      <c r="A46" s="7"/>
      <c r="B46" s="7"/>
      <c r="C46" s="7"/>
      <c r="D46" s="7"/>
    </row>
    <row r="47" ht="15.75" customHeight="1">
      <c r="A47" s="7"/>
      <c r="B47" s="7"/>
      <c r="C47" s="7"/>
      <c r="D47" s="7"/>
    </row>
    <row r="48" ht="15.75" customHeight="1">
      <c r="A48" s="7"/>
      <c r="B48" s="7"/>
      <c r="C48" s="7"/>
      <c r="D48" s="7"/>
    </row>
    <row r="49" ht="15.75" customHeight="1">
      <c r="A49" s="7"/>
      <c r="B49" s="7"/>
      <c r="C49" s="7"/>
      <c r="D49" s="7"/>
    </row>
    <row r="50" ht="15.75" customHeight="1">
      <c r="A50" s="7"/>
      <c r="B50" s="7"/>
      <c r="C50" s="7"/>
      <c r="D50" s="7"/>
    </row>
    <row r="51" ht="15.75" customHeight="1">
      <c r="A51" s="7"/>
      <c r="B51" s="7"/>
      <c r="C51" s="7"/>
      <c r="D51" s="7"/>
    </row>
    <row r="52" ht="15.75" customHeight="1">
      <c r="A52" s="7"/>
      <c r="B52" s="7"/>
      <c r="C52" s="7"/>
      <c r="D52" s="7"/>
    </row>
    <row r="53" ht="15.75" customHeight="1">
      <c r="A53" s="7"/>
      <c r="B53" s="7"/>
      <c r="C53" s="7"/>
      <c r="D53" s="7"/>
    </row>
    <row r="54" ht="15.75" customHeight="1">
      <c r="A54" s="7"/>
      <c r="B54" s="7"/>
      <c r="C54" s="7"/>
      <c r="D54" s="7"/>
    </row>
    <row r="55" ht="15.75" customHeight="1">
      <c r="A55" s="7"/>
      <c r="B55" s="7"/>
      <c r="C55" s="7"/>
      <c r="D55" s="7"/>
    </row>
    <row r="56" ht="15.75" customHeight="1">
      <c r="A56" s="7"/>
      <c r="B56" s="7"/>
      <c r="C56" s="7"/>
      <c r="D56" s="7"/>
    </row>
    <row r="57" ht="15.75" customHeight="1">
      <c r="A57" s="7"/>
      <c r="B57" s="7"/>
      <c r="C57" s="7"/>
      <c r="D57" s="7"/>
    </row>
    <row r="58" ht="15.75" customHeight="1">
      <c r="A58" s="7"/>
      <c r="B58" s="7"/>
      <c r="C58" s="7"/>
      <c r="D58" s="7"/>
    </row>
    <row r="59" ht="15.75" customHeight="1">
      <c r="A59" s="7"/>
      <c r="B59" s="7"/>
      <c r="C59" s="7"/>
      <c r="D59" s="7"/>
    </row>
    <row r="60" ht="15.75" customHeight="1">
      <c r="A60" s="7"/>
      <c r="B60" s="7"/>
      <c r="C60" s="7"/>
      <c r="D60" s="7"/>
    </row>
    <row r="61" ht="15.75" customHeight="1">
      <c r="A61" s="7"/>
      <c r="B61" s="7"/>
      <c r="C61" s="7"/>
      <c r="D61" s="7"/>
    </row>
    <row r="62" ht="15.75" customHeight="1">
      <c r="A62" s="7"/>
      <c r="B62" s="7"/>
      <c r="C62" s="7"/>
      <c r="D62" s="7"/>
    </row>
    <row r="63" ht="15.75" customHeight="1">
      <c r="A63" s="7"/>
      <c r="B63" s="7"/>
      <c r="C63" s="7"/>
      <c r="D63" s="7"/>
    </row>
    <row r="64" ht="15.75" customHeight="1">
      <c r="A64" s="7"/>
      <c r="B64" s="7"/>
      <c r="C64" s="7"/>
      <c r="D64" s="7"/>
    </row>
    <row r="65" ht="15.75" customHeight="1">
      <c r="A65" s="7"/>
      <c r="B65" s="7"/>
      <c r="C65" s="7"/>
      <c r="D65" s="7"/>
    </row>
    <row r="66" ht="15.75" customHeight="1">
      <c r="A66" s="7"/>
      <c r="B66" s="7"/>
      <c r="C66" s="7"/>
      <c r="D66" s="7"/>
    </row>
    <row r="67" ht="15.75" customHeight="1">
      <c r="A67" s="7"/>
      <c r="B67" s="7"/>
      <c r="C67" s="7"/>
      <c r="D67" s="7"/>
    </row>
    <row r="68" ht="15.75" customHeight="1">
      <c r="A68" s="7"/>
      <c r="B68" s="7"/>
      <c r="C68" s="7"/>
      <c r="D68" s="7"/>
    </row>
    <row r="69" ht="15.75" customHeight="1">
      <c r="A69" s="7"/>
      <c r="B69" s="7"/>
      <c r="C69" s="7"/>
      <c r="D69" s="7"/>
    </row>
    <row r="70" ht="15.75" customHeight="1">
      <c r="A70" s="7"/>
      <c r="B70" s="7"/>
      <c r="C70" s="7"/>
      <c r="D70" s="7"/>
    </row>
    <row r="71" ht="15.75" customHeight="1">
      <c r="A71" s="7"/>
      <c r="B71" s="7"/>
      <c r="C71" s="7"/>
      <c r="D71" s="7"/>
    </row>
    <row r="72" ht="15.75" customHeight="1">
      <c r="A72" s="7"/>
      <c r="B72" s="7"/>
      <c r="C72" s="7"/>
      <c r="D72" s="7"/>
    </row>
    <row r="73" ht="15.75" customHeight="1">
      <c r="A73" s="7"/>
      <c r="B73" s="7"/>
      <c r="C73" s="7"/>
      <c r="D73" s="7"/>
    </row>
    <row r="74" ht="15.75" customHeight="1">
      <c r="A74" s="7"/>
      <c r="B74" s="7"/>
      <c r="C74" s="7"/>
      <c r="D74" s="7"/>
    </row>
    <row r="75" ht="15.75" customHeight="1">
      <c r="A75" s="7"/>
      <c r="B75" s="7"/>
      <c r="C75" s="7"/>
      <c r="D75" s="7"/>
    </row>
    <row r="76" ht="15.75" customHeight="1">
      <c r="A76" s="7"/>
      <c r="B76" s="7"/>
      <c r="C76" s="7"/>
      <c r="D76" s="7"/>
    </row>
    <row r="77" ht="15.75" customHeight="1">
      <c r="A77" s="7"/>
      <c r="B77" s="7"/>
      <c r="C77" s="7"/>
      <c r="D77" s="7"/>
    </row>
    <row r="78" ht="15.75" customHeight="1">
      <c r="A78" s="7"/>
      <c r="B78" s="7"/>
      <c r="C78" s="7"/>
      <c r="D78" s="7"/>
    </row>
    <row r="79" ht="15.75" customHeight="1">
      <c r="A79" s="7"/>
      <c r="B79" s="7"/>
      <c r="C79" s="7"/>
      <c r="D79" s="7"/>
    </row>
    <row r="80" ht="15.75" customHeight="1">
      <c r="A80" s="7"/>
      <c r="B80" s="7"/>
      <c r="C80" s="7"/>
      <c r="D80" s="7"/>
    </row>
    <row r="81" ht="15.75" customHeight="1">
      <c r="A81" s="7"/>
      <c r="B81" s="7"/>
      <c r="C81" s="7"/>
      <c r="D81" s="7"/>
    </row>
    <row r="82" ht="15.75" customHeight="1">
      <c r="A82" s="7"/>
      <c r="B82" s="7"/>
      <c r="C82" s="7"/>
      <c r="D82" s="7"/>
    </row>
    <row r="83" ht="15.75" customHeight="1">
      <c r="A83" s="7"/>
      <c r="B83" s="7"/>
      <c r="C83" s="7"/>
      <c r="D83" s="7"/>
    </row>
    <row r="84" ht="15.75" customHeight="1">
      <c r="A84" s="7"/>
      <c r="B84" s="7"/>
      <c r="C84" s="7"/>
      <c r="D84" s="7"/>
    </row>
    <row r="85" ht="15.75" customHeight="1">
      <c r="A85" s="7"/>
      <c r="B85" s="7"/>
      <c r="C85" s="7"/>
      <c r="D85" s="7"/>
    </row>
    <row r="86" ht="15.75" customHeight="1">
      <c r="A86" s="7"/>
      <c r="B86" s="7"/>
      <c r="C86" s="7"/>
      <c r="D86" s="7"/>
    </row>
    <row r="87" ht="15.75" customHeight="1">
      <c r="A87" s="7"/>
      <c r="B87" s="7"/>
      <c r="C87" s="7"/>
      <c r="D87" s="7"/>
    </row>
    <row r="88" ht="15.75" customHeight="1">
      <c r="A88" s="7"/>
      <c r="B88" s="7"/>
      <c r="C88" s="7"/>
      <c r="D88" s="7"/>
    </row>
    <row r="89" ht="15.75" customHeight="1">
      <c r="A89" s="7"/>
      <c r="B89" s="7"/>
      <c r="C89" s="7"/>
      <c r="D89" s="7"/>
    </row>
    <row r="90" ht="15.75" customHeight="1">
      <c r="A90" s="7"/>
      <c r="B90" s="7"/>
      <c r="C90" s="7"/>
      <c r="D90" s="7"/>
    </row>
    <row r="91" ht="15.75" customHeight="1">
      <c r="A91" s="7"/>
      <c r="B91" s="7"/>
      <c r="C91" s="7"/>
      <c r="D91" s="7"/>
    </row>
    <row r="92" ht="15.75" customHeight="1">
      <c r="A92" s="7"/>
      <c r="B92" s="7"/>
      <c r="C92" s="7"/>
      <c r="D92" s="7"/>
    </row>
    <row r="93" ht="15.75" customHeight="1">
      <c r="A93" s="7"/>
      <c r="B93" s="7"/>
      <c r="C93" s="7"/>
      <c r="D93" s="7"/>
    </row>
    <row r="94" ht="15.75" customHeight="1">
      <c r="A94" s="7"/>
      <c r="B94" s="7"/>
      <c r="C94" s="7"/>
      <c r="D94" s="7"/>
    </row>
    <row r="95" ht="15.75" customHeight="1">
      <c r="A95" s="7"/>
      <c r="B95" s="7"/>
      <c r="C95" s="7"/>
      <c r="D95" s="7"/>
    </row>
    <row r="96" ht="15.75" customHeight="1">
      <c r="A96" s="7"/>
      <c r="B96" s="7"/>
      <c r="C96" s="7"/>
      <c r="D96" s="7"/>
    </row>
    <row r="97" ht="15.75" customHeight="1">
      <c r="A97" s="7"/>
      <c r="B97" s="7"/>
      <c r="C97" s="7"/>
      <c r="D97" s="7"/>
    </row>
    <row r="98" ht="15.75" customHeight="1">
      <c r="A98" s="7"/>
      <c r="B98" s="7"/>
      <c r="C98" s="7"/>
      <c r="D98" s="7"/>
    </row>
    <row r="99" ht="15.75" customHeight="1">
      <c r="A99" s="7"/>
      <c r="B99" s="7"/>
      <c r="C99" s="7"/>
      <c r="D99" s="7"/>
    </row>
    <row r="100" ht="15.75" customHeight="1">
      <c r="A100" s="7"/>
      <c r="B100" s="7"/>
      <c r="C100" s="7"/>
      <c r="D100" s="7"/>
    </row>
    <row r="101" ht="15.75" customHeight="1">
      <c r="A101" s="7"/>
      <c r="B101" s="7"/>
      <c r="C101" s="7"/>
      <c r="D101" s="7"/>
    </row>
    <row r="102" ht="15.75" customHeight="1">
      <c r="A102" s="7"/>
      <c r="B102" s="7"/>
      <c r="C102" s="7"/>
      <c r="D102" s="7"/>
    </row>
    <row r="103" ht="15.75" customHeight="1">
      <c r="A103" s="7"/>
      <c r="B103" s="7"/>
      <c r="C103" s="7"/>
      <c r="D103" s="7"/>
    </row>
    <row r="104" ht="15.75" customHeight="1">
      <c r="A104" s="7"/>
      <c r="B104" s="7"/>
      <c r="C104" s="7"/>
      <c r="D104" s="7"/>
    </row>
    <row r="105" ht="15.75" customHeight="1">
      <c r="A105" s="7"/>
      <c r="B105" s="7"/>
      <c r="C105" s="7"/>
      <c r="D105" s="7"/>
    </row>
    <row r="106" ht="15.75" customHeight="1">
      <c r="A106" s="7"/>
      <c r="B106" s="7"/>
      <c r="C106" s="7"/>
      <c r="D106" s="7"/>
    </row>
    <row r="107" ht="15.75" customHeight="1">
      <c r="A107" s="7"/>
      <c r="B107" s="7"/>
      <c r="C107" s="7"/>
      <c r="D107" s="7"/>
    </row>
    <row r="108" ht="15.75" customHeight="1">
      <c r="A108" s="7"/>
      <c r="B108" s="7"/>
      <c r="C108" s="7"/>
      <c r="D108" s="7"/>
    </row>
    <row r="109" ht="15.75" customHeight="1">
      <c r="A109" s="7"/>
      <c r="B109" s="7"/>
      <c r="C109" s="7"/>
      <c r="D109" s="7"/>
    </row>
    <row r="110" ht="15.75" customHeight="1">
      <c r="A110" s="7"/>
      <c r="B110" s="7"/>
      <c r="C110" s="7"/>
      <c r="D110" s="7"/>
    </row>
    <row r="111" ht="15.75" customHeight="1">
      <c r="A111" s="7"/>
      <c r="B111" s="7"/>
      <c r="C111" s="7"/>
      <c r="D111" s="7"/>
    </row>
    <row r="112" ht="15.75" customHeight="1">
      <c r="A112" s="7"/>
      <c r="B112" s="7"/>
      <c r="C112" s="7"/>
      <c r="D112" s="7"/>
    </row>
    <row r="113" ht="15.75" customHeight="1">
      <c r="A113" s="7"/>
      <c r="B113" s="7"/>
      <c r="C113" s="7"/>
      <c r="D113" s="7"/>
    </row>
    <row r="114" ht="15.75" customHeight="1">
      <c r="A114" s="7"/>
      <c r="B114" s="7"/>
      <c r="C114" s="7"/>
      <c r="D114" s="7"/>
    </row>
    <row r="115" ht="15.75" customHeight="1">
      <c r="A115" s="7"/>
      <c r="B115" s="7"/>
      <c r="C115" s="7"/>
      <c r="D115" s="7"/>
    </row>
    <row r="116" ht="15.75" customHeight="1">
      <c r="A116" s="7"/>
      <c r="B116" s="7"/>
      <c r="C116" s="7"/>
      <c r="D116" s="7"/>
    </row>
    <row r="117" ht="15.75" customHeight="1">
      <c r="A117" s="7"/>
      <c r="B117" s="7"/>
      <c r="C117" s="7"/>
      <c r="D117" s="7"/>
    </row>
    <row r="118" ht="15.75" customHeight="1">
      <c r="A118" s="7"/>
      <c r="B118" s="7"/>
      <c r="C118" s="7"/>
      <c r="D118" s="7"/>
    </row>
    <row r="119" ht="15.75" customHeight="1">
      <c r="A119" s="7"/>
      <c r="B119" s="7"/>
      <c r="C119" s="7"/>
      <c r="D119" s="7"/>
    </row>
    <row r="120" ht="15.75" customHeight="1">
      <c r="A120" s="7"/>
      <c r="B120" s="7"/>
      <c r="C120" s="7"/>
      <c r="D120" s="7"/>
    </row>
    <row r="121" ht="15.75" customHeight="1">
      <c r="A121" s="7"/>
      <c r="B121" s="7"/>
      <c r="C121" s="7"/>
      <c r="D121" s="7"/>
    </row>
    <row r="122" ht="15.75" customHeight="1">
      <c r="A122" s="7"/>
      <c r="B122" s="7"/>
      <c r="C122" s="7"/>
      <c r="D122" s="7"/>
    </row>
    <row r="123" ht="15.75" customHeight="1">
      <c r="A123" s="7"/>
      <c r="B123" s="7"/>
      <c r="C123" s="7"/>
      <c r="D123" s="7"/>
    </row>
    <row r="124" ht="15.75" customHeight="1">
      <c r="A124" s="7"/>
      <c r="B124" s="7"/>
      <c r="C124" s="7"/>
      <c r="D124" s="7"/>
    </row>
    <row r="125" ht="15.75" customHeight="1">
      <c r="A125" s="7"/>
      <c r="B125" s="7"/>
      <c r="C125" s="7"/>
      <c r="D125" s="7"/>
    </row>
    <row r="126" ht="15.75" customHeight="1">
      <c r="A126" s="7"/>
      <c r="B126" s="7"/>
      <c r="C126" s="7"/>
      <c r="D126" s="7"/>
    </row>
    <row r="127" ht="15.75" customHeight="1">
      <c r="A127" s="7"/>
      <c r="B127" s="7"/>
      <c r="C127" s="7"/>
      <c r="D127" s="7"/>
    </row>
    <row r="128" ht="15.75" customHeight="1">
      <c r="A128" s="7"/>
      <c r="B128" s="7"/>
      <c r="C128" s="7"/>
      <c r="D128" s="7"/>
    </row>
    <row r="129" ht="15.75" customHeight="1">
      <c r="A129" s="7"/>
      <c r="B129" s="7"/>
      <c r="C129" s="7"/>
      <c r="D129" s="7"/>
    </row>
    <row r="130" ht="15.75" customHeight="1">
      <c r="A130" s="7"/>
      <c r="B130" s="7"/>
      <c r="C130" s="7"/>
      <c r="D130" s="7"/>
    </row>
    <row r="131" ht="15.75" customHeight="1">
      <c r="A131" s="7"/>
      <c r="B131" s="7"/>
      <c r="C131" s="7"/>
      <c r="D131" s="7"/>
    </row>
    <row r="132" ht="15.75" customHeight="1">
      <c r="A132" s="7"/>
      <c r="B132" s="7"/>
      <c r="C132" s="7"/>
      <c r="D132" s="7"/>
    </row>
    <row r="133" ht="15.75" customHeight="1">
      <c r="A133" s="7"/>
      <c r="B133" s="7"/>
      <c r="C133" s="7"/>
      <c r="D133" s="7"/>
    </row>
    <row r="134" ht="15.75" customHeight="1">
      <c r="A134" s="7"/>
      <c r="B134" s="7"/>
      <c r="C134" s="7"/>
      <c r="D134" s="7"/>
    </row>
    <row r="135" ht="15.75" customHeight="1">
      <c r="A135" s="7"/>
      <c r="B135" s="7"/>
      <c r="C135" s="7"/>
      <c r="D135" s="7"/>
    </row>
    <row r="136" ht="15.75" customHeight="1">
      <c r="A136" s="7"/>
      <c r="B136" s="7"/>
      <c r="C136" s="7"/>
      <c r="D136" s="7"/>
    </row>
    <row r="137" ht="15.75" customHeight="1">
      <c r="A137" s="7"/>
      <c r="B137" s="7"/>
      <c r="C137" s="7"/>
      <c r="D137" s="7"/>
    </row>
    <row r="138" ht="15.75" customHeight="1">
      <c r="A138" s="7"/>
      <c r="B138" s="7"/>
      <c r="C138" s="7"/>
      <c r="D138" s="7"/>
    </row>
    <row r="139" ht="15.75" customHeight="1">
      <c r="A139" s="7"/>
      <c r="B139" s="7"/>
      <c r="C139" s="7"/>
      <c r="D139" s="7"/>
    </row>
    <row r="140" ht="15.75" customHeight="1">
      <c r="A140" s="7"/>
      <c r="B140" s="7"/>
      <c r="C140" s="7"/>
      <c r="D140" s="7"/>
    </row>
    <row r="141" ht="15.75" customHeight="1">
      <c r="A141" s="7"/>
      <c r="B141" s="7"/>
      <c r="C141" s="7"/>
      <c r="D141" s="7"/>
    </row>
    <row r="142" ht="15.75" customHeight="1">
      <c r="A142" s="7"/>
      <c r="B142" s="7"/>
      <c r="C142" s="7"/>
      <c r="D142" s="7"/>
    </row>
    <row r="143" ht="15.75" customHeight="1">
      <c r="A143" s="7"/>
      <c r="B143" s="7"/>
      <c r="C143" s="7"/>
      <c r="D143" s="7"/>
    </row>
    <row r="144" ht="15.75" customHeight="1">
      <c r="A144" s="7"/>
      <c r="B144" s="7"/>
      <c r="C144" s="7"/>
      <c r="D144" s="7"/>
    </row>
    <row r="145" ht="15.75" customHeight="1">
      <c r="A145" s="7"/>
      <c r="B145" s="7"/>
      <c r="C145" s="7"/>
      <c r="D145" s="7"/>
    </row>
    <row r="146" ht="15.75" customHeight="1">
      <c r="A146" s="7"/>
      <c r="B146" s="7"/>
      <c r="C146" s="7"/>
      <c r="D146" s="7"/>
    </row>
    <row r="147" ht="15.75" customHeight="1">
      <c r="A147" s="7"/>
      <c r="B147" s="7"/>
      <c r="C147" s="7"/>
      <c r="D147" s="7"/>
    </row>
    <row r="148" ht="15.75" customHeight="1">
      <c r="A148" s="7"/>
      <c r="B148" s="7"/>
      <c r="C148" s="7"/>
      <c r="D148" s="7"/>
    </row>
    <row r="149" ht="15.75" customHeight="1">
      <c r="A149" s="7"/>
      <c r="B149" s="7"/>
      <c r="C149" s="7"/>
      <c r="D149" s="7"/>
    </row>
    <row r="150" ht="15.75" customHeight="1">
      <c r="A150" s="7"/>
      <c r="B150" s="7"/>
      <c r="C150" s="7"/>
      <c r="D150" s="7"/>
    </row>
    <row r="151" ht="15.75" customHeight="1">
      <c r="A151" s="7"/>
      <c r="B151" s="7"/>
      <c r="C151" s="7"/>
      <c r="D151" s="7"/>
    </row>
    <row r="152" ht="15.75" customHeight="1">
      <c r="A152" s="7"/>
      <c r="B152" s="7"/>
      <c r="C152" s="7"/>
      <c r="D152" s="7"/>
    </row>
    <row r="153" ht="15.75" customHeight="1">
      <c r="A153" s="7"/>
      <c r="B153" s="7"/>
      <c r="C153" s="7"/>
      <c r="D153" s="7"/>
    </row>
    <row r="154" ht="15.75" customHeight="1">
      <c r="A154" s="7"/>
      <c r="B154" s="7"/>
      <c r="C154" s="7"/>
      <c r="D154" s="7"/>
    </row>
    <row r="155" ht="15.75" customHeight="1">
      <c r="A155" s="7"/>
      <c r="B155" s="7"/>
      <c r="C155" s="7"/>
      <c r="D155" s="7"/>
    </row>
    <row r="156" ht="15.75" customHeight="1">
      <c r="A156" s="7"/>
      <c r="B156" s="7"/>
      <c r="C156" s="7"/>
      <c r="D156" s="7"/>
    </row>
    <row r="157" ht="15.75" customHeight="1">
      <c r="A157" s="7"/>
      <c r="B157" s="7"/>
      <c r="C157" s="7"/>
      <c r="D157" s="7"/>
    </row>
    <row r="158" ht="15.75" customHeight="1">
      <c r="A158" s="7"/>
      <c r="B158" s="7"/>
      <c r="C158" s="7"/>
      <c r="D158" s="7"/>
    </row>
    <row r="159" ht="15.75" customHeight="1">
      <c r="A159" s="7"/>
      <c r="B159" s="7"/>
      <c r="C159" s="7"/>
      <c r="D159" s="7"/>
    </row>
    <row r="160" ht="15.75" customHeight="1">
      <c r="A160" s="7"/>
      <c r="B160" s="7"/>
      <c r="C160" s="7"/>
      <c r="D160" s="7"/>
    </row>
    <row r="161" ht="15.75" customHeight="1">
      <c r="A161" s="7"/>
      <c r="B161" s="7"/>
      <c r="C161" s="7"/>
      <c r="D161" s="7"/>
    </row>
    <row r="162" ht="15.75" customHeight="1">
      <c r="A162" s="7"/>
      <c r="B162" s="7"/>
      <c r="C162" s="7"/>
      <c r="D162" s="7"/>
    </row>
    <row r="163" ht="15.75" customHeight="1">
      <c r="A163" s="7"/>
      <c r="B163" s="7"/>
      <c r="C163" s="7"/>
      <c r="D163" s="7"/>
    </row>
    <row r="164" ht="15.75" customHeight="1">
      <c r="A164" s="7"/>
      <c r="B164" s="7"/>
      <c r="C164" s="7"/>
      <c r="D164" s="7"/>
    </row>
    <row r="165" ht="15.75" customHeight="1">
      <c r="A165" s="7"/>
      <c r="B165" s="7"/>
      <c r="C165" s="7"/>
      <c r="D165" s="7"/>
    </row>
    <row r="166" ht="15.75" customHeight="1">
      <c r="A166" s="7"/>
      <c r="B166" s="7"/>
      <c r="C166" s="7"/>
      <c r="D166" s="7"/>
    </row>
    <row r="167" ht="15.75" customHeight="1">
      <c r="A167" s="7"/>
      <c r="B167" s="7"/>
      <c r="C167" s="7"/>
      <c r="D167" s="7"/>
    </row>
    <row r="168" ht="15.75" customHeight="1">
      <c r="A168" s="7"/>
      <c r="B168" s="7"/>
      <c r="C168" s="7"/>
      <c r="D168" s="7"/>
    </row>
    <row r="169" ht="15.75" customHeight="1">
      <c r="A169" s="7"/>
      <c r="B169" s="7"/>
      <c r="C169" s="7"/>
      <c r="D169" s="7"/>
    </row>
    <row r="170" ht="15.75" customHeight="1">
      <c r="A170" s="7"/>
      <c r="B170" s="7"/>
      <c r="C170" s="7"/>
      <c r="D170" s="7"/>
    </row>
    <row r="171" ht="15.75" customHeight="1">
      <c r="A171" s="7"/>
      <c r="B171" s="7"/>
      <c r="C171" s="7"/>
      <c r="D171" s="7"/>
    </row>
    <row r="172" ht="15.75" customHeight="1">
      <c r="A172" s="7"/>
      <c r="B172" s="7"/>
      <c r="C172" s="7"/>
      <c r="D172" s="7"/>
    </row>
    <row r="173" ht="15.75" customHeight="1">
      <c r="A173" s="7"/>
      <c r="B173" s="7"/>
      <c r="C173" s="7"/>
      <c r="D173" s="7"/>
    </row>
    <row r="174" ht="15.75" customHeight="1">
      <c r="A174" s="7"/>
      <c r="B174" s="7"/>
      <c r="C174" s="7"/>
      <c r="D174" s="7"/>
    </row>
    <row r="175" ht="15.75" customHeight="1">
      <c r="A175" s="7"/>
      <c r="B175" s="7"/>
      <c r="C175" s="7"/>
      <c r="D175" s="7"/>
    </row>
    <row r="176" ht="15.75" customHeight="1">
      <c r="A176" s="7"/>
      <c r="B176" s="7"/>
      <c r="C176" s="7"/>
      <c r="D176" s="7"/>
    </row>
    <row r="177" ht="15.75" customHeight="1">
      <c r="A177" s="7"/>
      <c r="B177" s="7"/>
      <c r="C177" s="7"/>
      <c r="D177" s="7"/>
    </row>
    <row r="178" ht="15.75" customHeight="1">
      <c r="A178" s="7"/>
      <c r="B178" s="7"/>
      <c r="C178" s="7"/>
      <c r="D178" s="7"/>
    </row>
    <row r="179" ht="15.75" customHeight="1">
      <c r="A179" s="7"/>
      <c r="B179" s="7"/>
      <c r="C179" s="7"/>
      <c r="D179" s="7"/>
    </row>
    <row r="180" ht="15.75" customHeight="1">
      <c r="A180" s="7"/>
      <c r="B180" s="7"/>
      <c r="C180" s="7"/>
      <c r="D180" s="7"/>
    </row>
    <row r="181" ht="15.75" customHeight="1">
      <c r="A181" s="7"/>
      <c r="B181" s="7"/>
      <c r="C181" s="7"/>
      <c r="D181" s="7"/>
    </row>
    <row r="182" ht="15.75" customHeight="1">
      <c r="A182" s="7"/>
      <c r="B182" s="7"/>
      <c r="C182" s="7"/>
      <c r="D182" s="7"/>
    </row>
    <row r="183" ht="15.75" customHeight="1">
      <c r="A183" s="7"/>
      <c r="B183" s="7"/>
      <c r="C183" s="7"/>
      <c r="D183" s="7"/>
    </row>
    <row r="184" ht="15.75" customHeight="1">
      <c r="A184" s="7"/>
      <c r="B184" s="7"/>
      <c r="C184" s="7"/>
      <c r="D184" s="7"/>
    </row>
    <row r="185" ht="15.75" customHeight="1">
      <c r="A185" s="7"/>
      <c r="B185" s="7"/>
      <c r="C185" s="7"/>
      <c r="D185" s="7"/>
    </row>
    <row r="186" ht="15.75" customHeight="1">
      <c r="A186" s="7"/>
      <c r="B186" s="7"/>
      <c r="C186" s="7"/>
      <c r="D186" s="7"/>
    </row>
    <row r="187" ht="15.75" customHeight="1">
      <c r="A187" s="7"/>
      <c r="B187" s="7"/>
      <c r="C187" s="7"/>
      <c r="D187" s="7"/>
    </row>
    <row r="188" ht="15.75" customHeight="1">
      <c r="A188" s="7"/>
      <c r="B188" s="7"/>
      <c r="C188" s="7"/>
      <c r="D188" s="7"/>
    </row>
    <row r="189" ht="15.75" customHeight="1">
      <c r="A189" s="7"/>
      <c r="B189" s="7"/>
      <c r="C189" s="7"/>
      <c r="D189" s="7"/>
    </row>
    <row r="190" ht="15.75" customHeight="1">
      <c r="A190" s="7"/>
      <c r="B190" s="7"/>
      <c r="C190" s="7"/>
      <c r="D190" s="7"/>
    </row>
    <row r="191" ht="15.75" customHeight="1">
      <c r="A191" s="7"/>
      <c r="B191" s="7"/>
      <c r="C191" s="7"/>
      <c r="D191" s="7"/>
    </row>
    <row r="192" ht="15.75" customHeight="1">
      <c r="A192" s="7"/>
      <c r="B192" s="7"/>
      <c r="C192" s="7"/>
      <c r="D192" s="7"/>
    </row>
    <row r="193" ht="15.75" customHeight="1">
      <c r="A193" s="7"/>
      <c r="B193" s="7"/>
      <c r="C193" s="7"/>
      <c r="D193" s="7"/>
    </row>
    <row r="194" ht="15.75" customHeight="1">
      <c r="A194" s="7"/>
      <c r="B194" s="7"/>
      <c r="C194" s="7"/>
      <c r="D194" s="7"/>
    </row>
    <row r="195" ht="15.75" customHeight="1">
      <c r="A195" s="7"/>
      <c r="B195" s="7"/>
      <c r="C195" s="7"/>
      <c r="D195" s="7"/>
    </row>
    <row r="196" ht="15.75" customHeight="1">
      <c r="A196" s="7"/>
      <c r="B196" s="7"/>
      <c r="C196" s="7"/>
      <c r="D196" s="7"/>
    </row>
    <row r="197" ht="15.75" customHeight="1">
      <c r="A197" s="7"/>
      <c r="B197" s="7"/>
      <c r="C197" s="7"/>
      <c r="D197" s="7"/>
    </row>
    <row r="198" ht="15.75" customHeight="1">
      <c r="A198" s="7"/>
      <c r="B198" s="7"/>
      <c r="C198" s="7"/>
      <c r="D198" s="7"/>
    </row>
    <row r="199" ht="15.75" customHeight="1">
      <c r="A199" s="7"/>
      <c r="B199" s="7"/>
      <c r="C199" s="7"/>
      <c r="D199" s="7"/>
    </row>
    <row r="200" ht="15.75" customHeight="1">
      <c r="A200" s="7"/>
      <c r="B200" s="7"/>
      <c r="C200" s="7"/>
      <c r="D200" s="7"/>
    </row>
    <row r="201" ht="15.75" customHeight="1">
      <c r="A201" s="7"/>
      <c r="B201" s="7"/>
      <c r="C201" s="7"/>
      <c r="D201" s="7"/>
    </row>
    <row r="202" ht="15.75" customHeight="1">
      <c r="A202" s="7"/>
      <c r="B202" s="7"/>
      <c r="C202" s="7"/>
      <c r="D202" s="7"/>
    </row>
    <row r="203" ht="15.75" customHeight="1">
      <c r="A203" s="7"/>
      <c r="B203" s="7"/>
      <c r="C203" s="7"/>
      <c r="D203" s="7"/>
    </row>
    <row r="204" ht="15.75" customHeight="1">
      <c r="A204" s="7"/>
      <c r="B204" s="7"/>
      <c r="C204" s="7"/>
      <c r="D204" s="7"/>
    </row>
    <row r="205" ht="15.75" customHeight="1">
      <c r="A205" s="7"/>
      <c r="B205" s="7"/>
      <c r="C205" s="7"/>
      <c r="D205" s="7"/>
    </row>
    <row r="206" ht="15.75" customHeight="1">
      <c r="A206" s="7"/>
      <c r="B206" s="7"/>
      <c r="C206" s="7"/>
      <c r="D206" s="7"/>
    </row>
    <row r="207" ht="15.75" customHeight="1">
      <c r="A207" s="7"/>
      <c r="B207" s="7"/>
      <c r="C207" s="7"/>
      <c r="D207" s="7"/>
    </row>
    <row r="208" ht="15.75" customHeight="1">
      <c r="A208" s="7"/>
      <c r="B208" s="7"/>
      <c r="C208" s="7"/>
      <c r="D208" s="7"/>
    </row>
    <row r="209" ht="15.75" customHeight="1">
      <c r="A209" s="7"/>
      <c r="B209" s="7"/>
      <c r="C209" s="7"/>
      <c r="D209" s="7"/>
    </row>
    <row r="210" ht="15.75" customHeight="1">
      <c r="A210" s="7"/>
      <c r="B210" s="7"/>
      <c r="C210" s="7"/>
      <c r="D210" s="7"/>
    </row>
    <row r="211" ht="15.75" customHeight="1">
      <c r="A211" s="7"/>
      <c r="B211" s="7"/>
      <c r="C211" s="7"/>
      <c r="D211" s="7"/>
    </row>
    <row r="212" ht="15.75" customHeight="1">
      <c r="A212" s="7"/>
      <c r="B212" s="7"/>
      <c r="C212" s="7"/>
      <c r="D212" s="7"/>
    </row>
    <row r="213" ht="15.75" customHeight="1">
      <c r="A213" s="7"/>
      <c r="B213" s="7"/>
      <c r="C213" s="7"/>
      <c r="D213" s="7"/>
    </row>
    <row r="214" ht="15.75" customHeight="1">
      <c r="A214" s="7"/>
      <c r="B214" s="7"/>
      <c r="C214" s="7"/>
      <c r="D214" s="7"/>
    </row>
    <row r="215" ht="15.75" customHeight="1">
      <c r="A215" s="7"/>
      <c r="B215" s="7"/>
      <c r="C215" s="7"/>
      <c r="D215" s="7"/>
    </row>
    <row r="216" ht="15.75" customHeight="1">
      <c r="A216" s="7"/>
      <c r="B216" s="7"/>
      <c r="C216" s="7"/>
      <c r="D216" s="7"/>
    </row>
    <row r="217" ht="15.75" customHeight="1">
      <c r="A217" s="7"/>
      <c r="B217" s="7"/>
      <c r="C217" s="7"/>
      <c r="D217" s="7"/>
    </row>
    <row r="218" ht="15.75" customHeight="1">
      <c r="A218" s="7"/>
      <c r="B218" s="7"/>
      <c r="C218" s="7"/>
      <c r="D218" s="7"/>
    </row>
    <row r="219" ht="15.75" customHeight="1">
      <c r="A219" s="7"/>
      <c r="B219" s="7"/>
      <c r="C219" s="7"/>
      <c r="D219" s="7"/>
    </row>
    <row r="220" ht="15.75" customHeight="1">
      <c r="A220" s="7"/>
      <c r="B220" s="7"/>
      <c r="C220" s="7"/>
      <c r="D220" s="7"/>
    </row>
    <row r="221" ht="15.75" customHeight="1">
      <c r="A221" s="7"/>
      <c r="B221" s="7"/>
      <c r="C221" s="7"/>
      <c r="D221" s="7"/>
    </row>
    <row r="222" ht="15.75" customHeight="1">
      <c r="A222" s="7"/>
      <c r="B222" s="7"/>
      <c r="C222" s="7"/>
      <c r="D222" s="7"/>
    </row>
    <row r="223" ht="15.75" customHeight="1">
      <c r="A223" s="7"/>
      <c r="B223" s="7"/>
      <c r="C223" s="7"/>
      <c r="D223" s="7"/>
    </row>
    <row r="224" ht="15.75" customHeight="1">
      <c r="A224" s="7"/>
      <c r="B224" s="7"/>
      <c r="C224" s="7"/>
      <c r="D224" s="7"/>
    </row>
    <row r="225" ht="15.75" customHeight="1">
      <c r="A225" s="7"/>
      <c r="B225" s="7"/>
      <c r="C225" s="7"/>
      <c r="D225" s="7"/>
    </row>
    <row r="226" ht="15.75" customHeight="1">
      <c r="A226" s="7"/>
      <c r="B226" s="7"/>
      <c r="C226" s="7"/>
      <c r="D226" s="7"/>
    </row>
    <row r="227" ht="15.75" customHeight="1">
      <c r="A227" s="7"/>
      <c r="B227" s="7"/>
      <c r="C227" s="7"/>
      <c r="D227" s="7"/>
    </row>
    <row r="228" ht="15.75" customHeight="1">
      <c r="A228" s="7"/>
      <c r="B228" s="7"/>
      <c r="C228" s="7"/>
      <c r="D228" s="7"/>
    </row>
    <row r="229" ht="15.75" customHeight="1">
      <c r="A229" s="7"/>
      <c r="B229" s="7"/>
      <c r="C229" s="7"/>
      <c r="D229" s="7"/>
    </row>
    <row r="230" ht="15.75" customHeight="1">
      <c r="A230" s="7"/>
      <c r="B230" s="7"/>
      <c r="C230" s="7"/>
      <c r="D230" s="7"/>
    </row>
    <row r="231" ht="15.75" customHeight="1">
      <c r="A231" s="7"/>
      <c r="B231" s="7"/>
      <c r="C231" s="7"/>
      <c r="D231" s="7"/>
    </row>
    <row r="232" ht="15.75" customHeight="1">
      <c r="A232" s="7"/>
      <c r="B232" s="7"/>
      <c r="C232" s="7"/>
      <c r="D232" s="7"/>
    </row>
    <row r="233" ht="15.75" customHeight="1">
      <c r="A233" s="7"/>
      <c r="B233" s="7"/>
      <c r="C233" s="7"/>
      <c r="D233" s="7"/>
    </row>
    <row r="234" ht="15.75" customHeight="1">
      <c r="A234" s="7"/>
      <c r="B234" s="7"/>
      <c r="C234" s="7"/>
      <c r="D234" s="7"/>
    </row>
    <row r="235" ht="15.75" customHeight="1">
      <c r="A235" s="7"/>
      <c r="B235" s="7"/>
      <c r="C235" s="7"/>
      <c r="D235" s="7"/>
    </row>
    <row r="236" ht="15.75" customHeight="1">
      <c r="A236" s="7"/>
      <c r="B236" s="7"/>
      <c r="C236" s="7"/>
      <c r="D236" s="7"/>
    </row>
    <row r="237" ht="15.75" customHeight="1">
      <c r="A237" s="7"/>
      <c r="B237" s="7"/>
      <c r="C237" s="7"/>
      <c r="D237" s="7"/>
    </row>
    <row r="238" ht="15.75" customHeight="1">
      <c r="A238" s="7"/>
      <c r="B238" s="7"/>
      <c r="C238" s="7"/>
      <c r="D238" s="7"/>
    </row>
    <row r="239" ht="15.75" customHeight="1">
      <c r="A239" s="7"/>
      <c r="B239" s="7"/>
      <c r="C239" s="7"/>
      <c r="D239" s="7"/>
    </row>
    <row r="240" ht="15.75" customHeight="1">
      <c r="A240" s="7"/>
      <c r="B240" s="7"/>
      <c r="C240" s="7"/>
      <c r="D240" s="7"/>
    </row>
    <row r="241" ht="15.75" customHeight="1">
      <c r="A241" s="7"/>
      <c r="B241" s="7"/>
      <c r="C241" s="7"/>
      <c r="D241" s="7"/>
    </row>
    <row r="242" ht="15.75" customHeight="1">
      <c r="A242" s="7"/>
      <c r="B242" s="7"/>
      <c r="C242" s="7"/>
      <c r="D242" s="7"/>
    </row>
    <row r="243" ht="15.75" customHeight="1">
      <c r="A243" s="7"/>
      <c r="B243" s="7"/>
      <c r="C243" s="7"/>
      <c r="D243" s="7"/>
    </row>
    <row r="244" ht="15.75" customHeight="1">
      <c r="A244" s="7"/>
      <c r="B244" s="7"/>
      <c r="C244" s="7"/>
      <c r="D244" s="7"/>
    </row>
    <row r="245" ht="15.75" customHeight="1">
      <c r="A245" s="7"/>
      <c r="B245" s="7"/>
      <c r="C245" s="7"/>
      <c r="D245" s="7"/>
    </row>
    <row r="246" ht="15.75" customHeight="1">
      <c r="A246" s="7"/>
      <c r="B246" s="7"/>
      <c r="C246" s="7"/>
      <c r="D246" s="7"/>
    </row>
    <row r="247" ht="15.75" customHeight="1">
      <c r="A247" s="7"/>
      <c r="B247" s="7"/>
      <c r="C247" s="7"/>
      <c r="D247" s="7"/>
    </row>
    <row r="248" ht="15.75" customHeight="1">
      <c r="A248" s="7"/>
      <c r="B248" s="7"/>
      <c r="C248" s="7"/>
      <c r="D248" s="7"/>
    </row>
    <row r="249" ht="15.75" customHeight="1">
      <c r="A249" s="7"/>
      <c r="B249" s="7"/>
      <c r="C249" s="7"/>
      <c r="D249" s="7"/>
    </row>
    <row r="250" ht="15.75" customHeight="1">
      <c r="A250" s="7"/>
      <c r="B250" s="7"/>
      <c r="C250" s="7"/>
      <c r="D250" s="7"/>
    </row>
    <row r="251" ht="15.75" customHeight="1">
      <c r="A251" s="7"/>
      <c r="B251" s="7"/>
      <c r="C251" s="7"/>
      <c r="D251" s="7"/>
    </row>
    <row r="252" ht="15.75" customHeight="1">
      <c r="A252" s="7"/>
      <c r="B252" s="7"/>
      <c r="C252" s="7"/>
      <c r="D252" s="7"/>
    </row>
    <row r="253" ht="15.75" customHeight="1">
      <c r="A253" s="7"/>
      <c r="B253" s="7"/>
      <c r="C253" s="7"/>
      <c r="D253" s="7"/>
    </row>
    <row r="254" ht="15.75" customHeight="1">
      <c r="A254" s="7"/>
      <c r="B254" s="7"/>
      <c r="C254" s="7"/>
      <c r="D254" s="7"/>
    </row>
    <row r="255" ht="15.75" customHeight="1">
      <c r="A255" s="7"/>
      <c r="B255" s="7"/>
      <c r="C255" s="7"/>
      <c r="D255" s="7"/>
    </row>
    <row r="256" ht="15.75" customHeight="1">
      <c r="A256" s="7"/>
      <c r="B256" s="7"/>
      <c r="C256" s="7"/>
      <c r="D256" s="7"/>
    </row>
    <row r="257" ht="15.75" customHeight="1">
      <c r="A257" s="7"/>
      <c r="B257" s="7"/>
      <c r="C257" s="7"/>
      <c r="D257" s="7"/>
    </row>
    <row r="258" ht="15.75" customHeight="1">
      <c r="A258" s="7"/>
      <c r="B258" s="7"/>
      <c r="C258" s="7"/>
      <c r="D258" s="7"/>
    </row>
    <row r="259" ht="15.75" customHeight="1">
      <c r="A259" s="7"/>
      <c r="B259" s="7"/>
      <c r="C259" s="7"/>
      <c r="D259" s="7"/>
    </row>
    <row r="260" ht="15.75" customHeight="1">
      <c r="A260" s="7"/>
      <c r="B260" s="7"/>
      <c r="C260" s="7"/>
      <c r="D260" s="7"/>
    </row>
    <row r="261" ht="15.75" customHeight="1">
      <c r="A261" s="7"/>
      <c r="B261" s="7"/>
      <c r="C261" s="7"/>
      <c r="D261" s="7"/>
    </row>
    <row r="262" ht="15.75" customHeight="1">
      <c r="A262" s="7"/>
      <c r="B262" s="7"/>
      <c r="C262" s="7"/>
      <c r="D262" s="7"/>
    </row>
    <row r="263" ht="15.75" customHeight="1">
      <c r="A263" s="7"/>
      <c r="B263" s="7"/>
      <c r="C263" s="7"/>
      <c r="D263" s="7"/>
    </row>
    <row r="264" ht="15.75" customHeight="1">
      <c r="A264" s="7"/>
      <c r="B264" s="7"/>
      <c r="C264" s="7"/>
      <c r="D264" s="7"/>
    </row>
    <row r="265" ht="15.75" customHeight="1">
      <c r="A265" s="7"/>
      <c r="B265" s="7"/>
      <c r="C265" s="7"/>
      <c r="D265" s="7"/>
    </row>
    <row r="266" ht="15.75" customHeight="1">
      <c r="A266" s="7"/>
      <c r="B266" s="7"/>
      <c r="C266" s="7"/>
      <c r="D266" s="7"/>
    </row>
    <row r="267" ht="15.75" customHeight="1">
      <c r="A267" s="7"/>
      <c r="B267" s="7"/>
      <c r="C267" s="7"/>
      <c r="D267" s="7"/>
    </row>
    <row r="268" ht="15.75" customHeight="1">
      <c r="A268" s="7"/>
      <c r="B268" s="7"/>
      <c r="C268" s="7"/>
      <c r="D268" s="7"/>
    </row>
    <row r="269" ht="15.75" customHeight="1">
      <c r="A269" s="7"/>
      <c r="B269" s="7"/>
      <c r="C269" s="7"/>
      <c r="D269" s="7"/>
    </row>
    <row r="270" ht="15.75" customHeight="1">
      <c r="A270" s="7"/>
      <c r="B270" s="7"/>
      <c r="C270" s="7"/>
      <c r="D270" s="7"/>
    </row>
    <row r="271" ht="15.75" customHeight="1">
      <c r="A271" s="7"/>
      <c r="B271" s="7"/>
      <c r="C271" s="7"/>
      <c r="D271" s="7"/>
    </row>
    <row r="272" ht="15.75" customHeight="1">
      <c r="A272" s="7"/>
      <c r="B272" s="7"/>
      <c r="C272" s="7"/>
      <c r="D272" s="7"/>
    </row>
    <row r="273" ht="15.75" customHeight="1">
      <c r="A273" s="7"/>
      <c r="B273" s="7"/>
      <c r="C273" s="7"/>
      <c r="D273" s="7"/>
    </row>
    <row r="274" ht="15.75" customHeight="1">
      <c r="A274" s="7"/>
      <c r="B274" s="7"/>
      <c r="C274" s="7"/>
      <c r="D274" s="7"/>
    </row>
    <row r="275" ht="15.75" customHeight="1">
      <c r="A275" s="7"/>
      <c r="B275" s="7"/>
      <c r="C275" s="7"/>
      <c r="D275" s="7"/>
    </row>
    <row r="276" ht="15.75" customHeight="1">
      <c r="A276" s="7"/>
      <c r="B276" s="7"/>
      <c r="C276" s="7"/>
      <c r="D276" s="7"/>
    </row>
    <row r="277" ht="15.75" customHeight="1">
      <c r="A277" s="7"/>
      <c r="B277" s="7"/>
      <c r="C277" s="7"/>
      <c r="D277" s="7"/>
    </row>
    <row r="278" ht="15.75" customHeight="1">
      <c r="A278" s="7"/>
      <c r="B278" s="7"/>
      <c r="C278" s="7"/>
      <c r="D278" s="7"/>
    </row>
    <row r="279" ht="15.75" customHeight="1">
      <c r="A279" s="7"/>
      <c r="B279" s="7"/>
      <c r="C279" s="7"/>
      <c r="D279" s="7"/>
    </row>
    <row r="280" ht="15.75" customHeight="1">
      <c r="A280" s="7"/>
      <c r="B280" s="7"/>
      <c r="C280" s="7"/>
      <c r="D280" s="7"/>
    </row>
    <row r="281" ht="15.75" customHeight="1">
      <c r="A281" s="7"/>
      <c r="B281" s="7"/>
      <c r="C281" s="7"/>
      <c r="D281" s="7"/>
    </row>
    <row r="282" ht="15.75" customHeight="1">
      <c r="A282" s="7"/>
      <c r="B282" s="7"/>
      <c r="C282" s="7"/>
      <c r="D282" s="7"/>
    </row>
    <row r="283" ht="15.75" customHeight="1">
      <c r="A283" s="7"/>
      <c r="B283" s="7"/>
      <c r="C283" s="7"/>
      <c r="D283" s="7"/>
    </row>
    <row r="284" ht="15.75" customHeight="1">
      <c r="A284" s="7"/>
      <c r="B284" s="7"/>
      <c r="C284" s="7"/>
      <c r="D284" s="7"/>
    </row>
    <row r="285" ht="15.75" customHeight="1">
      <c r="A285" s="7"/>
      <c r="B285" s="7"/>
      <c r="C285" s="7"/>
      <c r="D285" s="7"/>
    </row>
    <row r="286" ht="15.75" customHeight="1">
      <c r="A286" s="7"/>
      <c r="B286" s="7"/>
      <c r="C286" s="7"/>
      <c r="D286" s="7"/>
    </row>
    <row r="287" ht="15.75" customHeight="1">
      <c r="A287" s="7"/>
      <c r="B287" s="7"/>
      <c r="C287" s="7"/>
      <c r="D287" s="7"/>
    </row>
    <row r="288" ht="15.75" customHeight="1">
      <c r="A288" s="7"/>
      <c r="B288" s="7"/>
      <c r="C288" s="7"/>
      <c r="D288" s="7"/>
    </row>
    <row r="289" ht="15.75" customHeight="1">
      <c r="A289" s="7"/>
      <c r="B289" s="7"/>
      <c r="C289" s="7"/>
      <c r="D289" s="7"/>
    </row>
    <row r="290" ht="15.75" customHeight="1">
      <c r="A290" s="7"/>
      <c r="B290" s="7"/>
      <c r="C290" s="7"/>
      <c r="D290" s="7"/>
    </row>
    <row r="291" ht="15.75" customHeight="1">
      <c r="A291" s="7"/>
      <c r="B291" s="7"/>
      <c r="C291" s="7"/>
      <c r="D291" s="7"/>
    </row>
    <row r="292" ht="15.75" customHeight="1">
      <c r="A292" s="7"/>
      <c r="B292" s="7"/>
      <c r="C292" s="7"/>
      <c r="D292" s="7"/>
    </row>
    <row r="293" ht="15.75" customHeight="1">
      <c r="A293" s="7"/>
      <c r="B293" s="7"/>
      <c r="C293" s="7"/>
      <c r="D293" s="7"/>
    </row>
    <row r="294" ht="15.75" customHeight="1">
      <c r="A294" s="7"/>
      <c r="B294" s="7"/>
      <c r="C294" s="7"/>
      <c r="D294" s="7"/>
    </row>
    <row r="295" ht="15.75" customHeight="1">
      <c r="A295" s="7"/>
      <c r="B295" s="7"/>
      <c r="C295" s="7"/>
      <c r="D295" s="7"/>
    </row>
    <row r="296" ht="15.75" customHeight="1">
      <c r="A296" s="7"/>
      <c r="B296" s="7"/>
      <c r="C296" s="7"/>
      <c r="D296" s="7"/>
    </row>
    <row r="297" ht="15.75" customHeight="1">
      <c r="A297" s="7"/>
      <c r="B297" s="7"/>
      <c r="C297" s="7"/>
      <c r="D297" s="7"/>
    </row>
    <row r="298" ht="15.75" customHeight="1">
      <c r="A298" s="7"/>
      <c r="B298" s="7"/>
      <c r="C298" s="7"/>
      <c r="D298" s="7"/>
    </row>
    <row r="299" ht="15.75" customHeight="1">
      <c r="A299" s="7"/>
      <c r="B299" s="7"/>
      <c r="C299" s="7"/>
      <c r="D299" s="7"/>
    </row>
    <row r="300" ht="15.75" customHeight="1">
      <c r="A300" s="7"/>
      <c r="B300" s="7"/>
      <c r="C300" s="7"/>
      <c r="D300" s="7"/>
    </row>
    <row r="301" ht="15.75" customHeight="1">
      <c r="A301" s="7"/>
      <c r="B301" s="7"/>
      <c r="C301" s="7"/>
      <c r="D301" s="7"/>
    </row>
    <row r="302" ht="15.75" customHeight="1">
      <c r="A302" s="7"/>
      <c r="B302" s="7"/>
      <c r="C302" s="7"/>
      <c r="D302" s="7"/>
    </row>
    <row r="303" ht="15.75" customHeight="1">
      <c r="A303" s="7"/>
      <c r="B303" s="7"/>
      <c r="C303" s="7"/>
      <c r="D303" s="7"/>
    </row>
    <row r="304" ht="15.75" customHeight="1">
      <c r="A304" s="7"/>
      <c r="B304" s="7"/>
      <c r="C304" s="7"/>
      <c r="D304" s="7"/>
    </row>
    <row r="305" ht="15.75" customHeight="1">
      <c r="A305" s="7"/>
      <c r="B305" s="7"/>
      <c r="C305" s="7"/>
      <c r="D305" s="7"/>
    </row>
    <row r="306" ht="15.75" customHeight="1">
      <c r="A306" s="7"/>
      <c r="B306" s="7"/>
      <c r="C306" s="7"/>
      <c r="D306" s="7"/>
    </row>
    <row r="307" ht="15.75" customHeight="1">
      <c r="A307" s="7"/>
      <c r="B307" s="7"/>
      <c r="C307" s="7"/>
      <c r="D307" s="7"/>
    </row>
    <row r="308" ht="15.75" customHeight="1">
      <c r="A308" s="7"/>
      <c r="B308" s="7"/>
      <c r="C308" s="7"/>
      <c r="D308" s="7"/>
    </row>
    <row r="309" ht="15.75" customHeight="1">
      <c r="A309" s="7"/>
      <c r="B309" s="7"/>
      <c r="C309" s="7"/>
      <c r="D309" s="7"/>
    </row>
    <row r="310" ht="15.75" customHeight="1">
      <c r="A310" s="7"/>
      <c r="B310" s="7"/>
      <c r="C310" s="7"/>
      <c r="D310" s="7"/>
    </row>
    <row r="311" ht="15.75" customHeight="1">
      <c r="A311" s="7"/>
      <c r="B311" s="7"/>
      <c r="C311" s="7"/>
      <c r="D311" s="7"/>
    </row>
    <row r="312" ht="15.75" customHeight="1">
      <c r="A312" s="7"/>
      <c r="B312" s="7"/>
      <c r="C312" s="7"/>
      <c r="D312" s="7"/>
    </row>
    <row r="313" ht="15.75" customHeight="1">
      <c r="A313" s="7"/>
      <c r="B313" s="7"/>
      <c r="C313" s="7"/>
      <c r="D313" s="7"/>
    </row>
    <row r="314" ht="15.75" customHeight="1">
      <c r="A314" s="7"/>
      <c r="B314" s="7"/>
      <c r="C314" s="7"/>
      <c r="D314" s="7"/>
    </row>
    <row r="315" ht="15.75" customHeight="1">
      <c r="A315" s="7"/>
      <c r="B315" s="7"/>
      <c r="C315" s="7"/>
      <c r="D315" s="7"/>
    </row>
    <row r="316" ht="15.75" customHeight="1">
      <c r="A316" s="7"/>
      <c r="B316" s="7"/>
      <c r="C316" s="7"/>
      <c r="D316" s="7"/>
    </row>
    <row r="317" ht="15.75" customHeight="1">
      <c r="A317" s="7"/>
      <c r="B317" s="7"/>
      <c r="C317" s="7"/>
      <c r="D317" s="7"/>
    </row>
    <row r="318" ht="15.75" customHeight="1">
      <c r="A318" s="7"/>
      <c r="B318" s="7"/>
      <c r="C318" s="7"/>
      <c r="D318" s="7"/>
    </row>
    <row r="319" ht="15.75" customHeight="1">
      <c r="A319" s="7"/>
      <c r="B319" s="7"/>
      <c r="C319" s="7"/>
      <c r="D319" s="7"/>
    </row>
    <row r="320" ht="15.75" customHeight="1">
      <c r="A320" s="7"/>
      <c r="B320" s="7"/>
      <c r="C320" s="7"/>
      <c r="D320" s="7"/>
    </row>
    <row r="321" ht="15.75" customHeight="1">
      <c r="A321" s="7"/>
      <c r="B321" s="7"/>
      <c r="C321" s="7"/>
      <c r="D321" s="7"/>
    </row>
    <row r="322" ht="15.75" customHeight="1">
      <c r="A322" s="7"/>
      <c r="B322" s="7"/>
      <c r="C322" s="7"/>
      <c r="D322" s="7"/>
    </row>
    <row r="323" ht="15.75" customHeight="1">
      <c r="A323" s="7"/>
      <c r="B323" s="7"/>
      <c r="C323" s="7"/>
      <c r="D323" s="7"/>
    </row>
    <row r="324" ht="15.75" customHeight="1">
      <c r="A324" s="7"/>
      <c r="B324" s="7"/>
      <c r="C324" s="7"/>
      <c r="D324" s="7"/>
    </row>
    <row r="325" ht="15.75" customHeight="1">
      <c r="A325" s="7"/>
      <c r="B325" s="7"/>
      <c r="C325" s="7"/>
      <c r="D325" s="7"/>
    </row>
    <row r="326" ht="15.75" customHeight="1">
      <c r="A326" s="7"/>
      <c r="B326" s="7"/>
      <c r="C326" s="7"/>
      <c r="D326" s="7"/>
    </row>
    <row r="327" ht="15.75" customHeight="1">
      <c r="A327" s="7"/>
      <c r="B327" s="7"/>
      <c r="C327" s="7"/>
      <c r="D327" s="7"/>
    </row>
    <row r="328" ht="15.75" customHeight="1">
      <c r="A328" s="7"/>
      <c r="B328" s="7"/>
      <c r="C328" s="7"/>
      <c r="D328" s="7"/>
    </row>
    <row r="329" ht="15.75" customHeight="1">
      <c r="A329" s="7"/>
      <c r="B329" s="7"/>
      <c r="C329" s="7"/>
      <c r="D329" s="7"/>
    </row>
    <row r="330" ht="15.75" customHeight="1">
      <c r="A330" s="7"/>
      <c r="B330" s="7"/>
      <c r="C330" s="7"/>
      <c r="D330" s="7"/>
    </row>
    <row r="331" ht="15.75" customHeight="1">
      <c r="A331" s="7"/>
      <c r="B331" s="7"/>
      <c r="C331" s="7"/>
      <c r="D331" s="7"/>
    </row>
    <row r="332" ht="15.75" customHeight="1">
      <c r="A332" s="7"/>
      <c r="B332" s="7"/>
      <c r="C332" s="7"/>
      <c r="D332" s="7"/>
    </row>
    <row r="333" ht="15.75" customHeight="1">
      <c r="A333" s="7"/>
      <c r="B333" s="7"/>
      <c r="C333" s="7"/>
      <c r="D333" s="7"/>
    </row>
    <row r="334" ht="15.75" customHeight="1">
      <c r="A334" s="7"/>
      <c r="B334" s="7"/>
      <c r="C334" s="7"/>
      <c r="D334" s="7"/>
    </row>
    <row r="335" ht="15.75" customHeight="1">
      <c r="A335" s="7"/>
      <c r="B335" s="7"/>
      <c r="C335" s="7"/>
      <c r="D335" s="7"/>
    </row>
    <row r="336" ht="15.75" customHeight="1">
      <c r="A336" s="7"/>
      <c r="B336" s="7"/>
      <c r="C336" s="7"/>
      <c r="D336" s="7"/>
    </row>
    <row r="337" ht="15.75" customHeight="1">
      <c r="A337" s="7"/>
      <c r="B337" s="7"/>
      <c r="C337" s="7"/>
      <c r="D337" s="7"/>
    </row>
    <row r="338" ht="15.75" customHeight="1">
      <c r="A338" s="7"/>
      <c r="B338" s="7"/>
      <c r="C338" s="7"/>
      <c r="D338" s="7"/>
    </row>
    <row r="339" ht="15.75" customHeight="1">
      <c r="A339" s="7"/>
      <c r="B339" s="7"/>
      <c r="C339" s="7"/>
      <c r="D339" s="7"/>
    </row>
    <row r="340" ht="15.75" customHeight="1">
      <c r="A340" s="7"/>
      <c r="B340" s="7"/>
      <c r="C340" s="7"/>
      <c r="D340" s="7"/>
    </row>
    <row r="341" ht="15.75" customHeight="1">
      <c r="A341" s="7"/>
      <c r="B341" s="7"/>
      <c r="C341" s="7"/>
      <c r="D341" s="7"/>
    </row>
    <row r="342" ht="15.75" customHeight="1">
      <c r="A342" s="7"/>
      <c r="B342" s="7"/>
      <c r="C342" s="7"/>
      <c r="D342" s="7"/>
    </row>
    <row r="343" ht="15.75" customHeight="1">
      <c r="A343" s="7"/>
      <c r="B343" s="7"/>
      <c r="C343" s="7"/>
      <c r="D343" s="7"/>
    </row>
    <row r="344" ht="15.75" customHeight="1">
      <c r="A344" s="7"/>
      <c r="B344" s="7"/>
      <c r="C344" s="7"/>
      <c r="D344" s="7"/>
    </row>
    <row r="345" ht="15.75" customHeight="1">
      <c r="A345" s="7"/>
      <c r="B345" s="7"/>
      <c r="C345" s="7"/>
      <c r="D345" s="7"/>
    </row>
    <row r="346" ht="15.75" customHeight="1">
      <c r="A346" s="7"/>
      <c r="B346" s="7"/>
      <c r="C346" s="7"/>
      <c r="D346" s="7"/>
    </row>
    <row r="347" ht="15.75" customHeight="1">
      <c r="A347" s="7"/>
      <c r="B347" s="7"/>
      <c r="C347" s="7"/>
      <c r="D347" s="7"/>
    </row>
    <row r="348" ht="15.75" customHeight="1">
      <c r="A348" s="7"/>
      <c r="B348" s="7"/>
      <c r="C348" s="7"/>
      <c r="D348" s="7"/>
    </row>
    <row r="349" ht="15.75" customHeight="1">
      <c r="A349" s="7"/>
      <c r="B349" s="7"/>
      <c r="C349" s="7"/>
      <c r="D349" s="7"/>
    </row>
    <row r="350" ht="15.75" customHeight="1">
      <c r="A350" s="7"/>
      <c r="B350" s="7"/>
      <c r="C350" s="7"/>
      <c r="D350" s="7"/>
    </row>
    <row r="351" ht="15.75" customHeight="1">
      <c r="A351" s="7"/>
      <c r="B351" s="7"/>
      <c r="C351" s="7"/>
      <c r="D351" s="7"/>
    </row>
    <row r="352" ht="15.75" customHeight="1">
      <c r="A352" s="7"/>
      <c r="B352" s="7"/>
      <c r="C352" s="7"/>
      <c r="D352" s="7"/>
    </row>
    <row r="353" ht="15.75" customHeight="1">
      <c r="A353" s="7"/>
      <c r="B353" s="7"/>
      <c r="C353" s="7"/>
      <c r="D353" s="7"/>
    </row>
    <row r="354" ht="15.75" customHeight="1">
      <c r="A354" s="7"/>
      <c r="B354" s="7"/>
      <c r="C354" s="7"/>
      <c r="D354" s="7"/>
    </row>
    <row r="355" ht="15.75" customHeight="1">
      <c r="A355" s="7"/>
      <c r="B355" s="7"/>
      <c r="C355" s="7"/>
      <c r="D355" s="7"/>
    </row>
    <row r="356" ht="15.75" customHeight="1">
      <c r="A356" s="7"/>
      <c r="B356" s="7"/>
      <c r="C356" s="7"/>
      <c r="D356" s="7"/>
    </row>
    <row r="357" ht="15.75" customHeight="1">
      <c r="A357" s="7"/>
      <c r="B357" s="7"/>
      <c r="C357" s="7"/>
      <c r="D357" s="7"/>
    </row>
    <row r="358" ht="15.75" customHeight="1">
      <c r="A358" s="7"/>
      <c r="B358" s="7"/>
      <c r="C358" s="7"/>
      <c r="D358" s="7"/>
    </row>
    <row r="359" ht="15.75" customHeight="1">
      <c r="A359" s="7"/>
      <c r="B359" s="7"/>
      <c r="C359" s="7"/>
      <c r="D359" s="7"/>
    </row>
    <row r="360" ht="15.75" customHeight="1">
      <c r="A360" s="7"/>
      <c r="B360" s="7"/>
      <c r="C360" s="7"/>
      <c r="D360" s="7"/>
    </row>
    <row r="361" ht="15.75" customHeight="1">
      <c r="A361" s="7"/>
      <c r="B361" s="7"/>
      <c r="C361" s="7"/>
      <c r="D361" s="7"/>
    </row>
    <row r="362" ht="15.75" customHeight="1">
      <c r="A362" s="7"/>
      <c r="B362" s="7"/>
      <c r="C362" s="7"/>
      <c r="D362" s="7"/>
    </row>
    <row r="363" ht="15.75" customHeight="1">
      <c r="A363" s="7"/>
      <c r="B363" s="7"/>
      <c r="C363" s="7"/>
      <c r="D363" s="7"/>
    </row>
    <row r="364" ht="15.75" customHeight="1">
      <c r="A364" s="7"/>
      <c r="B364" s="7"/>
      <c r="C364" s="7"/>
      <c r="D364" s="7"/>
    </row>
    <row r="365" ht="15.75" customHeight="1">
      <c r="A365" s="7"/>
      <c r="B365" s="7"/>
      <c r="C365" s="7"/>
      <c r="D365" s="7"/>
    </row>
    <row r="366" ht="15.75" customHeight="1">
      <c r="A366" s="7"/>
      <c r="B366" s="7"/>
      <c r="C366" s="7"/>
      <c r="D366" s="7"/>
    </row>
    <row r="367" ht="15.75" customHeight="1">
      <c r="A367" s="7"/>
      <c r="B367" s="7"/>
      <c r="C367" s="7"/>
      <c r="D367" s="7"/>
    </row>
    <row r="368" ht="15.75" customHeight="1">
      <c r="A368" s="7"/>
      <c r="B368" s="7"/>
      <c r="C368" s="7"/>
      <c r="D368" s="7"/>
    </row>
    <row r="369" ht="15.75" customHeight="1">
      <c r="A369" s="7"/>
      <c r="B369" s="7"/>
      <c r="C369" s="7"/>
      <c r="D369" s="7"/>
    </row>
    <row r="370" ht="15.75" customHeight="1">
      <c r="A370" s="7"/>
      <c r="B370" s="7"/>
      <c r="C370" s="7"/>
      <c r="D370" s="7"/>
    </row>
    <row r="371" ht="15.75" customHeight="1">
      <c r="A371" s="7"/>
      <c r="B371" s="7"/>
      <c r="C371" s="7"/>
      <c r="D371" s="7"/>
    </row>
    <row r="372" ht="15.75" customHeight="1">
      <c r="A372" s="7"/>
      <c r="B372" s="7"/>
      <c r="C372" s="7"/>
      <c r="D372" s="7"/>
    </row>
    <row r="373" ht="15.75" customHeight="1">
      <c r="A373" s="7"/>
      <c r="B373" s="7"/>
      <c r="C373" s="7"/>
      <c r="D373" s="7"/>
    </row>
    <row r="374" ht="15.75" customHeight="1">
      <c r="A374" s="7"/>
      <c r="B374" s="7"/>
      <c r="C374" s="7"/>
      <c r="D374" s="7"/>
    </row>
    <row r="375" ht="15.75" customHeight="1">
      <c r="A375" s="7"/>
      <c r="B375" s="7"/>
      <c r="C375" s="7"/>
      <c r="D375" s="7"/>
    </row>
    <row r="376" ht="15.75" customHeight="1">
      <c r="A376" s="7"/>
      <c r="B376" s="7"/>
      <c r="C376" s="7"/>
      <c r="D376" s="7"/>
    </row>
    <row r="377" ht="15.75" customHeight="1">
      <c r="A377" s="7"/>
      <c r="B377" s="7"/>
      <c r="C377" s="7"/>
      <c r="D377" s="7"/>
    </row>
    <row r="378" ht="15.75" customHeight="1">
      <c r="A378" s="7"/>
      <c r="B378" s="7"/>
      <c r="C378" s="7"/>
      <c r="D378" s="7"/>
    </row>
    <row r="379" ht="15.75" customHeight="1">
      <c r="A379" s="7"/>
      <c r="B379" s="7"/>
      <c r="C379" s="7"/>
      <c r="D379" s="7"/>
    </row>
    <row r="380" ht="15.75" customHeight="1">
      <c r="A380" s="7"/>
      <c r="B380" s="7"/>
      <c r="C380" s="7"/>
      <c r="D380" s="7"/>
    </row>
    <row r="381" ht="15.75" customHeight="1">
      <c r="A381" s="7"/>
      <c r="B381" s="7"/>
      <c r="C381" s="7"/>
      <c r="D381" s="7"/>
    </row>
    <row r="382" ht="15.75" customHeight="1">
      <c r="A382" s="7"/>
      <c r="B382" s="7"/>
      <c r="C382" s="7"/>
      <c r="D382" s="7"/>
    </row>
    <row r="383" ht="15.75" customHeight="1">
      <c r="A383" s="7"/>
      <c r="B383" s="7"/>
      <c r="C383" s="7"/>
      <c r="D383" s="7"/>
    </row>
    <row r="384" ht="15.75" customHeight="1">
      <c r="A384" s="7"/>
      <c r="B384" s="7"/>
      <c r="C384" s="7"/>
      <c r="D384" s="7"/>
    </row>
    <row r="385" ht="15.75" customHeight="1">
      <c r="A385" s="7"/>
      <c r="B385" s="7"/>
      <c r="C385" s="7"/>
      <c r="D385" s="7"/>
    </row>
    <row r="386" ht="15.75" customHeight="1">
      <c r="A386" s="7"/>
      <c r="B386" s="7"/>
      <c r="C386" s="7"/>
      <c r="D386" s="7"/>
    </row>
    <row r="387" ht="15.75" customHeight="1">
      <c r="A387" s="7"/>
      <c r="B387" s="7"/>
      <c r="C387" s="7"/>
      <c r="D387" s="7"/>
    </row>
    <row r="388" ht="15.75" customHeight="1">
      <c r="A388" s="7"/>
      <c r="B388" s="7"/>
      <c r="C388" s="7"/>
      <c r="D388" s="7"/>
    </row>
    <row r="389" ht="15.75" customHeight="1">
      <c r="A389" s="7"/>
      <c r="B389" s="7"/>
      <c r="C389" s="7"/>
      <c r="D389" s="7"/>
    </row>
    <row r="390" ht="15.75" customHeight="1">
      <c r="A390" s="7"/>
      <c r="B390" s="7"/>
      <c r="C390" s="7"/>
      <c r="D390" s="7"/>
    </row>
    <row r="391" ht="15.75" customHeight="1">
      <c r="A391" s="7"/>
      <c r="B391" s="7"/>
      <c r="C391" s="7"/>
      <c r="D391" s="7"/>
    </row>
    <row r="392" ht="15.75" customHeight="1">
      <c r="A392" s="7"/>
      <c r="B392" s="7"/>
      <c r="C392" s="7"/>
      <c r="D392" s="7"/>
    </row>
    <row r="393" ht="15.75" customHeight="1">
      <c r="A393" s="7"/>
      <c r="B393" s="7"/>
      <c r="C393" s="7"/>
      <c r="D393" s="7"/>
    </row>
    <row r="394" ht="15.75" customHeight="1">
      <c r="A394" s="7"/>
      <c r="B394" s="7"/>
      <c r="C394" s="7"/>
      <c r="D394" s="7"/>
    </row>
    <row r="395" ht="15.75" customHeight="1">
      <c r="A395" s="7"/>
      <c r="B395" s="7"/>
      <c r="C395" s="7"/>
      <c r="D395" s="7"/>
    </row>
    <row r="396" ht="15.75" customHeight="1">
      <c r="A396" s="7"/>
      <c r="B396" s="7"/>
      <c r="C396" s="7"/>
      <c r="D396" s="7"/>
    </row>
    <row r="397" ht="15.75" customHeight="1">
      <c r="A397" s="7"/>
      <c r="B397" s="7"/>
      <c r="C397" s="7"/>
      <c r="D397" s="7"/>
    </row>
    <row r="398" ht="15.75" customHeight="1">
      <c r="A398" s="7"/>
      <c r="B398" s="7"/>
      <c r="C398" s="7"/>
      <c r="D398" s="7"/>
    </row>
    <row r="399" ht="15.75" customHeight="1">
      <c r="A399" s="7"/>
      <c r="B399" s="7"/>
      <c r="C399" s="7"/>
      <c r="D399" s="7"/>
    </row>
    <row r="400" ht="15.75" customHeight="1">
      <c r="A400" s="7"/>
      <c r="B400" s="7"/>
      <c r="C400" s="7"/>
      <c r="D400" s="7"/>
    </row>
    <row r="401" ht="15.75" customHeight="1">
      <c r="A401" s="7"/>
      <c r="B401" s="7"/>
      <c r="C401" s="7"/>
      <c r="D401" s="7"/>
    </row>
    <row r="402" ht="15.75" customHeight="1">
      <c r="A402" s="7"/>
      <c r="B402" s="7"/>
      <c r="C402" s="7"/>
      <c r="D402" s="7"/>
    </row>
    <row r="403" ht="15.75" customHeight="1">
      <c r="A403" s="7"/>
      <c r="B403" s="7"/>
      <c r="C403" s="7"/>
      <c r="D403" s="7"/>
    </row>
    <row r="404" ht="15.75" customHeight="1">
      <c r="A404" s="7"/>
      <c r="B404" s="7"/>
      <c r="C404" s="7"/>
      <c r="D404" s="7"/>
    </row>
    <row r="405" ht="15.75" customHeight="1">
      <c r="A405" s="7"/>
      <c r="B405" s="7"/>
      <c r="C405" s="7"/>
      <c r="D405" s="7"/>
    </row>
    <row r="406" ht="15.75" customHeight="1">
      <c r="A406" s="7"/>
      <c r="B406" s="7"/>
      <c r="C406" s="7"/>
      <c r="D406" s="7"/>
    </row>
    <row r="407" ht="15.75" customHeight="1">
      <c r="A407" s="7"/>
      <c r="B407" s="7"/>
      <c r="C407" s="7"/>
      <c r="D407" s="7"/>
    </row>
    <row r="408" ht="15.75" customHeight="1">
      <c r="A408" s="7"/>
      <c r="B408" s="7"/>
      <c r="C408" s="7"/>
      <c r="D408" s="7"/>
    </row>
    <row r="409" ht="15.75" customHeight="1">
      <c r="A409" s="7"/>
      <c r="B409" s="7"/>
      <c r="C409" s="7"/>
      <c r="D409" s="7"/>
    </row>
    <row r="410" ht="15.75" customHeight="1">
      <c r="A410" s="7"/>
      <c r="B410" s="7"/>
      <c r="C410" s="7"/>
      <c r="D410" s="7"/>
    </row>
    <row r="411" ht="15.75" customHeight="1">
      <c r="A411" s="7"/>
      <c r="B411" s="7"/>
      <c r="C411" s="7"/>
      <c r="D411" s="7"/>
    </row>
    <row r="412" ht="15.75" customHeight="1">
      <c r="A412" s="7"/>
      <c r="B412" s="7"/>
      <c r="C412" s="7"/>
      <c r="D412" s="7"/>
    </row>
    <row r="413" ht="15.75" customHeight="1">
      <c r="A413" s="7"/>
      <c r="B413" s="7"/>
      <c r="C413" s="7"/>
      <c r="D413" s="7"/>
    </row>
    <row r="414" ht="15.75" customHeight="1">
      <c r="A414" s="7"/>
      <c r="B414" s="7"/>
      <c r="C414" s="7"/>
      <c r="D414" s="7"/>
    </row>
    <row r="415" ht="15.75" customHeight="1">
      <c r="A415" s="7"/>
      <c r="B415" s="7"/>
      <c r="C415" s="7"/>
      <c r="D415" s="7"/>
    </row>
    <row r="416" ht="15.75" customHeight="1">
      <c r="A416" s="7"/>
      <c r="B416" s="7"/>
      <c r="C416" s="7"/>
      <c r="D416" s="7"/>
    </row>
    <row r="417" ht="15.75" customHeight="1">
      <c r="A417" s="7"/>
      <c r="B417" s="7"/>
      <c r="C417" s="7"/>
      <c r="D417" s="7"/>
    </row>
    <row r="418" ht="15.75" customHeight="1">
      <c r="A418" s="7"/>
      <c r="B418" s="7"/>
      <c r="C418" s="7"/>
      <c r="D418" s="7"/>
    </row>
    <row r="419" ht="15.75" customHeight="1">
      <c r="A419" s="7"/>
      <c r="B419" s="7"/>
      <c r="C419" s="7"/>
      <c r="D419" s="7"/>
    </row>
    <row r="420" ht="15.75" customHeight="1">
      <c r="A420" s="7"/>
      <c r="B420" s="7"/>
      <c r="C420" s="7"/>
      <c r="D420" s="7"/>
    </row>
    <row r="421" ht="15.75" customHeight="1">
      <c r="A421" s="7"/>
      <c r="B421" s="7"/>
      <c r="C421" s="7"/>
      <c r="D421" s="7"/>
    </row>
    <row r="422" ht="15.75" customHeight="1">
      <c r="A422" s="7"/>
      <c r="B422" s="7"/>
      <c r="C422" s="7"/>
      <c r="D422" s="7"/>
    </row>
    <row r="423" ht="15.75" customHeight="1">
      <c r="A423" s="7"/>
      <c r="B423" s="7"/>
      <c r="C423" s="7"/>
      <c r="D423" s="7"/>
    </row>
    <row r="424" ht="15.75" customHeight="1">
      <c r="A424" s="7"/>
      <c r="B424" s="7"/>
      <c r="C424" s="7"/>
      <c r="D424" s="7"/>
    </row>
    <row r="425" ht="15.75" customHeight="1">
      <c r="A425" s="7"/>
      <c r="B425" s="7"/>
      <c r="C425" s="7"/>
      <c r="D425" s="7"/>
    </row>
    <row r="426" ht="15.75" customHeight="1">
      <c r="A426" s="7"/>
      <c r="B426" s="7"/>
      <c r="C426" s="7"/>
      <c r="D426" s="7"/>
    </row>
    <row r="427" ht="15.75" customHeight="1">
      <c r="A427" s="7"/>
      <c r="B427" s="7"/>
      <c r="C427" s="7"/>
      <c r="D427" s="7"/>
    </row>
    <row r="428" ht="15.75" customHeight="1">
      <c r="A428" s="7"/>
      <c r="B428" s="7"/>
      <c r="C428" s="7"/>
      <c r="D428" s="7"/>
    </row>
    <row r="429" ht="15.75" customHeight="1">
      <c r="A429" s="7"/>
      <c r="B429" s="7"/>
      <c r="C429" s="7"/>
      <c r="D429" s="7"/>
    </row>
    <row r="430" ht="15.75" customHeight="1">
      <c r="A430" s="7"/>
      <c r="B430" s="7"/>
      <c r="C430" s="7"/>
      <c r="D430" s="7"/>
    </row>
    <row r="431" ht="15.75" customHeight="1">
      <c r="A431" s="7"/>
      <c r="B431" s="7"/>
      <c r="C431" s="7"/>
      <c r="D431" s="7"/>
    </row>
    <row r="432" ht="15.75" customHeight="1">
      <c r="A432" s="7"/>
      <c r="B432" s="7"/>
      <c r="C432" s="7"/>
      <c r="D432" s="7"/>
    </row>
    <row r="433" ht="15.75" customHeight="1">
      <c r="A433" s="7"/>
      <c r="B433" s="7"/>
      <c r="C433" s="7"/>
      <c r="D433" s="7"/>
    </row>
    <row r="434" ht="15.75" customHeight="1">
      <c r="A434" s="7"/>
      <c r="B434" s="7"/>
      <c r="C434" s="7"/>
      <c r="D434" s="7"/>
    </row>
    <row r="435" ht="15.75" customHeight="1">
      <c r="A435" s="7"/>
      <c r="B435" s="7"/>
      <c r="C435" s="7"/>
      <c r="D435" s="7"/>
    </row>
    <row r="436" ht="15.75" customHeight="1">
      <c r="A436" s="7"/>
      <c r="B436" s="7"/>
      <c r="C436" s="7"/>
      <c r="D436" s="7"/>
    </row>
    <row r="437" ht="15.75" customHeight="1">
      <c r="A437" s="7"/>
      <c r="B437" s="7"/>
      <c r="C437" s="7"/>
      <c r="D437" s="7"/>
    </row>
    <row r="438" ht="15.75" customHeight="1">
      <c r="A438" s="7"/>
      <c r="B438" s="7"/>
      <c r="C438" s="7"/>
      <c r="D438" s="7"/>
    </row>
    <row r="439" ht="15.75" customHeight="1">
      <c r="A439" s="7"/>
      <c r="B439" s="7"/>
      <c r="C439" s="7"/>
      <c r="D439" s="7"/>
    </row>
    <row r="440" ht="15.75" customHeight="1">
      <c r="A440" s="7"/>
      <c r="B440" s="7"/>
      <c r="C440" s="7"/>
      <c r="D440" s="7"/>
    </row>
    <row r="441" ht="15.75" customHeight="1">
      <c r="A441" s="7"/>
      <c r="B441" s="7"/>
      <c r="C441" s="7"/>
      <c r="D441" s="7"/>
    </row>
    <row r="442" ht="15.75" customHeight="1">
      <c r="A442" s="7"/>
      <c r="B442" s="7"/>
      <c r="C442" s="7"/>
      <c r="D442" s="7"/>
    </row>
    <row r="443" ht="15.75" customHeight="1">
      <c r="A443" s="7"/>
      <c r="B443" s="7"/>
      <c r="C443" s="7"/>
      <c r="D443" s="7"/>
    </row>
    <row r="444" ht="15.75" customHeight="1">
      <c r="A444" s="7"/>
      <c r="B444" s="7"/>
      <c r="C444" s="7"/>
      <c r="D444" s="7"/>
    </row>
    <row r="445" ht="15.75" customHeight="1">
      <c r="A445" s="7"/>
      <c r="B445" s="7"/>
      <c r="C445" s="7"/>
      <c r="D445" s="7"/>
    </row>
    <row r="446" ht="15.75" customHeight="1">
      <c r="A446" s="7"/>
      <c r="B446" s="7"/>
      <c r="C446" s="7"/>
      <c r="D446" s="7"/>
    </row>
    <row r="447" ht="15.75" customHeight="1">
      <c r="A447" s="7"/>
      <c r="B447" s="7"/>
      <c r="C447" s="7"/>
      <c r="D447" s="7"/>
    </row>
    <row r="448" ht="15.75" customHeight="1">
      <c r="A448" s="7"/>
      <c r="B448" s="7"/>
      <c r="C448" s="7"/>
      <c r="D448" s="7"/>
    </row>
    <row r="449" ht="15.75" customHeight="1">
      <c r="A449" s="7"/>
      <c r="B449" s="7"/>
      <c r="C449" s="7"/>
      <c r="D449" s="7"/>
    </row>
    <row r="450" ht="15.75" customHeight="1">
      <c r="A450" s="7"/>
      <c r="B450" s="7"/>
      <c r="C450" s="7"/>
      <c r="D450" s="7"/>
    </row>
    <row r="451" ht="15.75" customHeight="1">
      <c r="A451" s="7"/>
      <c r="B451" s="7"/>
      <c r="C451" s="7"/>
      <c r="D451" s="7"/>
    </row>
    <row r="452" ht="15.75" customHeight="1">
      <c r="A452" s="7"/>
      <c r="B452" s="7"/>
      <c r="C452" s="7"/>
      <c r="D452" s="7"/>
    </row>
    <row r="453" ht="15.75" customHeight="1">
      <c r="A453" s="7"/>
      <c r="B453" s="7"/>
      <c r="C453" s="7"/>
      <c r="D453" s="7"/>
    </row>
    <row r="454" ht="15.75" customHeight="1">
      <c r="A454" s="7"/>
      <c r="B454" s="7"/>
      <c r="C454" s="7"/>
      <c r="D454" s="7"/>
    </row>
    <row r="455" ht="15.75" customHeight="1">
      <c r="A455" s="7"/>
      <c r="B455" s="7"/>
      <c r="C455" s="7"/>
      <c r="D455" s="7"/>
    </row>
    <row r="456" ht="15.75" customHeight="1">
      <c r="A456" s="7"/>
      <c r="B456" s="7"/>
      <c r="C456" s="7"/>
      <c r="D456" s="7"/>
    </row>
    <row r="457" ht="15.75" customHeight="1">
      <c r="A457" s="7"/>
      <c r="B457" s="7"/>
      <c r="C457" s="7"/>
      <c r="D457" s="7"/>
    </row>
    <row r="458" ht="15.75" customHeight="1">
      <c r="A458" s="7"/>
      <c r="B458" s="7"/>
      <c r="C458" s="7"/>
      <c r="D458" s="7"/>
    </row>
    <row r="459" ht="15.75" customHeight="1">
      <c r="A459" s="7"/>
      <c r="B459" s="7"/>
      <c r="C459" s="7"/>
      <c r="D459" s="7"/>
    </row>
    <row r="460" ht="15.75" customHeight="1">
      <c r="A460" s="7"/>
      <c r="B460" s="7"/>
      <c r="C460" s="7"/>
      <c r="D460" s="7"/>
    </row>
    <row r="461" ht="15.75" customHeight="1">
      <c r="A461" s="7"/>
      <c r="B461" s="7"/>
      <c r="C461" s="7"/>
      <c r="D461" s="7"/>
    </row>
    <row r="462" ht="15.75" customHeight="1">
      <c r="A462" s="7"/>
      <c r="B462" s="7"/>
      <c r="C462" s="7"/>
      <c r="D462" s="7"/>
    </row>
    <row r="463" ht="15.75" customHeight="1">
      <c r="A463" s="7"/>
      <c r="B463" s="7"/>
      <c r="C463" s="7"/>
      <c r="D463" s="7"/>
    </row>
    <row r="464" ht="15.75" customHeight="1">
      <c r="A464" s="7"/>
      <c r="B464" s="7"/>
      <c r="C464" s="7"/>
      <c r="D464" s="7"/>
    </row>
    <row r="465" ht="15.75" customHeight="1">
      <c r="A465" s="7"/>
      <c r="B465" s="7"/>
      <c r="C465" s="7"/>
      <c r="D465" s="7"/>
    </row>
    <row r="466" ht="15.75" customHeight="1">
      <c r="A466" s="7"/>
      <c r="B466" s="7"/>
      <c r="C466" s="7"/>
      <c r="D466" s="7"/>
    </row>
    <row r="467" ht="15.75" customHeight="1">
      <c r="A467" s="7"/>
      <c r="B467" s="7"/>
      <c r="C467" s="7"/>
      <c r="D467" s="7"/>
    </row>
    <row r="468" ht="15.75" customHeight="1">
      <c r="A468" s="7"/>
      <c r="B468" s="7"/>
      <c r="C468" s="7"/>
      <c r="D468" s="7"/>
    </row>
    <row r="469" ht="15.75" customHeight="1">
      <c r="A469" s="7"/>
      <c r="B469" s="7"/>
      <c r="C469" s="7"/>
      <c r="D469" s="7"/>
    </row>
    <row r="470" ht="15.75" customHeight="1">
      <c r="A470" s="7"/>
      <c r="B470" s="7"/>
      <c r="C470" s="7"/>
      <c r="D470" s="7"/>
    </row>
    <row r="471" ht="15.75" customHeight="1">
      <c r="A471" s="7"/>
      <c r="B471" s="7"/>
      <c r="C471" s="7"/>
      <c r="D471" s="7"/>
    </row>
    <row r="472" ht="15.75" customHeight="1">
      <c r="A472" s="7"/>
      <c r="B472" s="7"/>
      <c r="C472" s="7"/>
      <c r="D472" s="7"/>
    </row>
    <row r="473" ht="15.75" customHeight="1">
      <c r="A473" s="7"/>
      <c r="B473" s="7"/>
      <c r="C473" s="7"/>
      <c r="D473" s="7"/>
    </row>
    <row r="474" ht="15.75" customHeight="1">
      <c r="A474" s="7"/>
      <c r="B474" s="7"/>
      <c r="C474" s="7"/>
      <c r="D474" s="7"/>
    </row>
    <row r="475" ht="15.75" customHeight="1">
      <c r="A475" s="7"/>
      <c r="B475" s="7"/>
      <c r="C475" s="7"/>
      <c r="D475" s="7"/>
    </row>
    <row r="476" ht="15.75" customHeight="1">
      <c r="A476" s="7"/>
      <c r="B476" s="7"/>
      <c r="C476" s="7"/>
      <c r="D476" s="7"/>
    </row>
    <row r="477" ht="15.75" customHeight="1">
      <c r="A477" s="7"/>
      <c r="B477" s="7"/>
      <c r="C477" s="7"/>
      <c r="D477" s="7"/>
    </row>
    <row r="478" ht="15.75" customHeight="1">
      <c r="A478" s="7"/>
      <c r="B478" s="7"/>
      <c r="C478" s="7"/>
      <c r="D478" s="7"/>
    </row>
    <row r="479" ht="15.75" customHeight="1">
      <c r="A479" s="7"/>
      <c r="B479" s="7"/>
      <c r="C479" s="7"/>
      <c r="D479" s="7"/>
    </row>
    <row r="480" ht="15.75" customHeight="1">
      <c r="A480" s="7"/>
      <c r="B480" s="7"/>
      <c r="C480" s="7"/>
      <c r="D480" s="7"/>
    </row>
    <row r="481" ht="15.75" customHeight="1">
      <c r="A481" s="7"/>
      <c r="B481" s="7"/>
      <c r="C481" s="7"/>
      <c r="D481" s="7"/>
    </row>
    <row r="482" ht="15.75" customHeight="1">
      <c r="A482" s="7"/>
      <c r="B482" s="7"/>
      <c r="C482" s="7"/>
      <c r="D482" s="7"/>
    </row>
    <row r="483" ht="15.75" customHeight="1">
      <c r="A483" s="7"/>
      <c r="B483" s="7"/>
      <c r="C483" s="7"/>
      <c r="D483" s="7"/>
    </row>
    <row r="484" ht="15.75" customHeight="1">
      <c r="A484" s="7"/>
      <c r="B484" s="7"/>
      <c r="C484" s="7"/>
      <c r="D484" s="7"/>
    </row>
    <row r="485" ht="15.75" customHeight="1">
      <c r="A485" s="7"/>
      <c r="B485" s="7"/>
      <c r="C485" s="7"/>
      <c r="D485" s="7"/>
    </row>
    <row r="486" ht="15.75" customHeight="1">
      <c r="A486" s="7"/>
      <c r="B486" s="7"/>
      <c r="C486" s="7"/>
      <c r="D486" s="7"/>
    </row>
    <row r="487" ht="15.75" customHeight="1">
      <c r="A487" s="7"/>
      <c r="B487" s="7"/>
      <c r="C487" s="7"/>
      <c r="D487" s="7"/>
    </row>
    <row r="488" ht="15.75" customHeight="1">
      <c r="A488" s="7"/>
      <c r="B488" s="7"/>
      <c r="C488" s="7"/>
      <c r="D488" s="7"/>
    </row>
    <row r="489" ht="15.75" customHeight="1">
      <c r="A489" s="7"/>
      <c r="B489" s="7"/>
      <c r="C489" s="7"/>
      <c r="D489" s="7"/>
    </row>
    <row r="490" ht="15.75" customHeight="1">
      <c r="A490" s="7"/>
      <c r="B490" s="7"/>
      <c r="C490" s="7"/>
      <c r="D490" s="7"/>
    </row>
    <row r="491" ht="15.75" customHeight="1">
      <c r="A491" s="7"/>
      <c r="B491" s="7"/>
      <c r="C491" s="7"/>
      <c r="D491" s="7"/>
    </row>
    <row r="492" ht="15.75" customHeight="1">
      <c r="A492" s="7"/>
      <c r="B492" s="7"/>
      <c r="C492" s="7"/>
      <c r="D492" s="7"/>
    </row>
    <row r="493" ht="15.75" customHeight="1">
      <c r="A493" s="7"/>
      <c r="B493" s="7"/>
      <c r="C493" s="7"/>
      <c r="D493" s="7"/>
    </row>
    <row r="494" ht="15.75" customHeight="1">
      <c r="A494" s="7"/>
      <c r="B494" s="7"/>
      <c r="C494" s="7"/>
      <c r="D494" s="7"/>
    </row>
    <row r="495" ht="15.75" customHeight="1">
      <c r="A495" s="7"/>
      <c r="B495" s="7"/>
      <c r="C495" s="7"/>
      <c r="D495" s="7"/>
    </row>
    <row r="496" ht="15.75" customHeight="1">
      <c r="A496" s="7"/>
      <c r="B496" s="7"/>
      <c r="C496" s="7"/>
      <c r="D496" s="7"/>
    </row>
    <row r="497" ht="15.75" customHeight="1">
      <c r="A497" s="7"/>
      <c r="B497" s="7"/>
      <c r="C497" s="7"/>
      <c r="D497" s="7"/>
    </row>
    <row r="498" ht="15.75" customHeight="1">
      <c r="A498" s="7"/>
      <c r="B498" s="7"/>
      <c r="C498" s="7"/>
      <c r="D498" s="7"/>
    </row>
    <row r="499" ht="15.75" customHeight="1">
      <c r="A499" s="7"/>
      <c r="B499" s="7"/>
      <c r="C499" s="7"/>
      <c r="D499" s="7"/>
    </row>
    <row r="500" ht="15.75" customHeight="1">
      <c r="A500" s="7"/>
      <c r="B500" s="7"/>
      <c r="C500" s="7"/>
      <c r="D500" s="7"/>
    </row>
    <row r="501" ht="15.75" customHeight="1">
      <c r="A501" s="7"/>
      <c r="B501" s="7"/>
      <c r="C501" s="7"/>
      <c r="D501" s="7"/>
    </row>
    <row r="502" ht="15.75" customHeight="1">
      <c r="A502" s="7"/>
      <c r="B502" s="7"/>
      <c r="C502" s="7"/>
      <c r="D502" s="7"/>
    </row>
    <row r="503" ht="15.75" customHeight="1">
      <c r="A503" s="7"/>
      <c r="B503" s="7"/>
      <c r="C503" s="7"/>
      <c r="D503" s="7"/>
    </row>
    <row r="504" ht="15.75" customHeight="1">
      <c r="A504" s="7"/>
      <c r="B504" s="7"/>
      <c r="C504" s="7"/>
      <c r="D504" s="7"/>
    </row>
    <row r="505" ht="15.75" customHeight="1">
      <c r="A505" s="7"/>
      <c r="B505" s="7"/>
      <c r="C505" s="7"/>
      <c r="D505" s="7"/>
    </row>
    <row r="506" ht="15.75" customHeight="1">
      <c r="A506" s="7"/>
      <c r="B506" s="7"/>
      <c r="C506" s="7"/>
      <c r="D506" s="7"/>
    </row>
    <row r="507" ht="15.75" customHeight="1">
      <c r="A507" s="7"/>
      <c r="B507" s="7"/>
      <c r="C507" s="7"/>
      <c r="D507" s="7"/>
    </row>
    <row r="508" ht="15.75" customHeight="1">
      <c r="A508" s="7"/>
      <c r="B508" s="7"/>
      <c r="C508" s="7"/>
      <c r="D508" s="7"/>
    </row>
    <row r="509" ht="15.75" customHeight="1">
      <c r="A509" s="7"/>
      <c r="B509" s="7"/>
      <c r="C509" s="7"/>
      <c r="D509" s="7"/>
    </row>
    <row r="510" ht="15.75" customHeight="1">
      <c r="A510" s="7"/>
      <c r="B510" s="7"/>
      <c r="C510" s="7"/>
      <c r="D510" s="7"/>
    </row>
    <row r="511" ht="15.75" customHeight="1">
      <c r="A511" s="7"/>
      <c r="B511" s="7"/>
      <c r="C511" s="7"/>
      <c r="D511" s="7"/>
    </row>
    <row r="512" ht="15.75" customHeight="1">
      <c r="A512" s="7"/>
      <c r="B512" s="7"/>
      <c r="C512" s="7"/>
      <c r="D512" s="7"/>
    </row>
    <row r="513" ht="15.75" customHeight="1">
      <c r="A513" s="7"/>
      <c r="B513" s="7"/>
      <c r="C513" s="7"/>
      <c r="D513" s="7"/>
    </row>
    <row r="514" ht="15.75" customHeight="1">
      <c r="A514" s="7"/>
      <c r="B514" s="7"/>
      <c r="C514" s="7"/>
      <c r="D514" s="7"/>
    </row>
    <row r="515" ht="15.75" customHeight="1">
      <c r="A515" s="7"/>
      <c r="B515" s="7"/>
      <c r="C515" s="7"/>
      <c r="D515" s="7"/>
    </row>
    <row r="516" ht="15.75" customHeight="1">
      <c r="A516" s="7"/>
      <c r="B516" s="7"/>
      <c r="C516" s="7"/>
      <c r="D516" s="7"/>
    </row>
    <row r="517" ht="15.75" customHeight="1">
      <c r="A517" s="7"/>
      <c r="B517" s="7"/>
      <c r="C517" s="7"/>
      <c r="D517" s="7"/>
    </row>
    <row r="518" ht="15.75" customHeight="1">
      <c r="A518" s="7"/>
      <c r="B518" s="7"/>
      <c r="C518" s="7"/>
      <c r="D518" s="7"/>
    </row>
    <row r="519" ht="15.75" customHeight="1">
      <c r="A519" s="7"/>
      <c r="B519" s="7"/>
      <c r="C519" s="7"/>
      <c r="D519" s="7"/>
    </row>
    <row r="520" ht="15.75" customHeight="1">
      <c r="A520" s="7"/>
      <c r="B520" s="7"/>
      <c r="C520" s="7"/>
      <c r="D520" s="7"/>
    </row>
    <row r="521" ht="15.75" customHeight="1">
      <c r="A521" s="7"/>
      <c r="B521" s="7"/>
      <c r="C521" s="7"/>
      <c r="D521" s="7"/>
    </row>
    <row r="522" ht="15.75" customHeight="1">
      <c r="A522" s="7"/>
      <c r="B522" s="7"/>
      <c r="C522" s="7"/>
      <c r="D522" s="7"/>
    </row>
    <row r="523" ht="15.75" customHeight="1">
      <c r="A523" s="7"/>
      <c r="B523" s="7"/>
      <c r="C523" s="7"/>
      <c r="D523" s="7"/>
    </row>
    <row r="524" ht="15.75" customHeight="1">
      <c r="A524" s="7"/>
      <c r="B524" s="7"/>
      <c r="C524" s="7"/>
      <c r="D524" s="7"/>
    </row>
    <row r="525" ht="15.75" customHeight="1">
      <c r="A525" s="7"/>
      <c r="B525" s="7"/>
      <c r="C525" s="7"/>
      <c r="D525" s="7"/>
    </row>
    <row r="526" ht="15.75" customHeight="1">
      <c r="A526" s="7"/>
      <c r="B526" s="7"/>
      <c r="C526" s="7"/>
      <c r="D526" s="7"/>
    </row>
    <row r="527" ht="15.75" customHeight="1">
      <c r="A527" s="7"/>
      <c r="B527" s="7"/>
      <c r="C527" s="7"/>
      <c r="D527" s="7"/>
    </row>
    <row r="528" ht="15.75" customHeight="1">
      <c r="A528" s="7"/>
      <c r="B528" s="7"/>
      <c r="C528" s="7"/>
      <c r="D528" s="7"/>
    </row>
    <row r="529" ht="15.75" customHeight="1">
      <c r="A529" s="7"/>
      <c r="B529" s="7"/>
      <c r="C529" s="7"/>
      <c r="D529" s="7"/>
    </row>
    <row r="530" ht="15.75" customHeight="1">
      <c r="A530" s="7"/>
      <c r="B530" s="7"/>
      <c r="C530" s="7"/>
      <c r="D530" s="7"/>
    </row>
    <row r="531" ht="15.75" customHeight="1">
      <c r="A531" s="7"/>
      <c r="B531" s="7"/>
      <c r="C531" s="7"/>
      <c r="D531" s="7"/>
    </row>
    <row r="532" ht="15.75" customHeight="1">
      <c r="A532" s="7"/>
      <c r="B532" s="7"/>
      <c r="C532" s="7"/>
      <c r="D532" s="7"/>
    </row>
    <row r="533" ht="15.75" customHeight="1">
      <c r="A533" s="7"/>
      <c r="B533" s="7"/>
      <c r="C533" s="7"/>
      <c r="D533" s="7"/>
    </row>
    <row r="534" ht="15.75" customHeight="1">
      <c r="A534" s="7"/>
      <c r="B534" s="7"/>
      <c r="C534" s="7"/>
      <c r="D534" s="7"/>
    </row>
    <row r="535" ht="15.75" customHeight="1">
      <c r="A535" s="7"/>
      <c r="B535" s="7"/>
      <c r="C535" s="7"/>
      <c r="D535" s="7"/>
    </row>
    <row r="536" ht="15.75" customHeight="1">
      <c r="A536" s="7"/>
      <c r="B536" s="7"/>
      <c r="C536" s="7"/>
      <c r="D536" s="7"/>
    </row>
    <row r="537" ht="15.75" customHeight="1">
      <c r="A537" s="7"/>
      <c r="B537" s="7"/>
      <c r="C537" s="7"/>
      <c r="D537" s="7"/>
    </row>
    <row r="538" ht="15.75" customHeight="1">
      <c r="A538" s="7"/>
      <c r="B538" s="7"/>
      <c r="C538" s="7"/>
      <c r="D538" s="7"/>
    </row>
    <row r="539" ht="15.75" customHeight="1">
      <c r="A539" s="7"/>
      <c r="B539" s="7"/>
      <c r="C539" s="7"/>
      <c r="D539" s="7"/>
    </row>
    <row r="540" ht="15.75" customHeight="1">
      <c r="A540" s="7"/>
      <c r="B540" s="7"/>
      <c r="C540" s="7"/>
      <c r="D540" s="7"/>
    </row>
    <row r="541" ht="15.75" customHeight="1">
      <c r="A541" s="7"/>
      <c r="B541" s="7"/>
      <c r="C541" s="7"/>
      <c r="D541" s="7"/>
    </row>
    <row r="542" ht="15.75" customHeight="1">
      <c r="A542" s="7"/>
      <c r="B542" s="7"/>
      <c r="C542" s="7"/>
      <c r="D542" s="7"/>
    </row>
    <row r="543" ht="15.75" customHeight="1">
      <c r="A543" s="7"/>
      <c r="B543" s="7"/>
      <c r="C543" s="7"/>
      <c r="D543" s="7"/>
    </row>
    <row r="544" ht="15.75" customHeight="1">
      <c r="A544" s="7"/>
      <c r="B544" s="7"/>
      <c r="C544" s="7"/>
      <c r="D544" s="7"/>
    </row>
    <row r="545" ht="15.75" customHeight="1">
      <c r="A545" s="7"/>
      <c r="B545" s="7"/>
      <c r="C545" s="7"/>
      <c r="D545" s="7"/>
    </row>
    <row r="546" ht="15.75" customHeight="1">
      <c r="A546" s="7"/>
      <c r="B546" s="7"/>
      <c r="C546" s="7"/>
      <c r="D546" s="7"/>
    </row>
    <row r="547" ht="15.75" customHeight="1">
      <c r="A547" s="7"/>
      <c r="B547" s="7"/>
      <c r="C547" s="7"/>
      <c r="D547" s="7"/>
    </row>
    <row r="548" ht="15.75" customHeight="1">
      <c r="A548" s="7"/>
      <c r="B548" s="7"/>
      <c r="C548" s="7"/>
      <c r="D548" s="7"/>
    </row>
    <row r="549" ht="15.75" customHeight="1">
      <c r="A549" s="7"/>
      <c r="B549" s="7"/>
      <c r="C549" s="7"/>
      <c r="D549" s="7"/>
    </row>
    <row r="550" ht="15.75" customHeight="1">
      <c r="A550" s="7"/>
      <c r="B550" s="7"/>
      <c r="C550" s="7"/>
      <c r="D550" s="7"/>
    </row>
    <row r="551" ht="15.75" customHeight="1">
      <c r="A551" s="7"/>
      <c r="B551" s="7"/>
      <c r="C551" s="7"/>
      <c r="D551" s="7"/>
    </row>
    <row r="552" ht="15.75" customHeight="1">
      <c r="A552" s="7"/>
      <c r="B552" s="7"/>
      <c r="C552" s="7"/>
      <c r="D552" s="7"/>
    </row>
    <row r="553" ht="15.75" customHeight="1">
      <c r="A553" s="7"/>
      <c r="B553" s="7"/>
      <c r="C553" s="7"/>
      <c r="D553" s="7"/>
    </row>
    <row r="554" ht="15.75" customHeight="1">
      <c r="A554" s="7"/>
      <c r="B554" s="7"/>
      <c r="C554" s="7"/>
      <c r="D554" s="7"/>
    </row>
    <row r="555" ht="15.75" customHeight="1">
      <c r="A555" s="7"/>
      <c r="B555" s="7"/>
      <c r="C555" s="7"/>
      <c r="D555" s="7"/>
    </row>
    <row r="556" ht="15.75" customHeight="1">
      <c r="A556" s="7"/>
      <c r="B556" s="7"/>
      <c r="C556" s="7"/>
      <c r="D556" s="7"/>
    </row>
    <row r="557" ht="15.75" customHeight="1">
      <c r="A557" s="7"/>
      <c r="B557" s="7"/>
      <c r="C557" s="7"/>
      <c r="D557" s="7"/>
    </row>
    <row r="558" ht="15.75" customHeight="1">
      <c r="A558" s="7"/>
      <c r="B558" s="7"/>
      <c r="C558" s="7"/>
      <c r="D558" s="7"/>
    </row>
    <row r="559" ht="15.75" customHeight="1">
      <c r="A559" s="7"/>
      <c r="B559" s="7"/>
      <c r="C559" s="7"/>
      <c r="D559" s="7"/>
    </row>
    <row r="560" ht="15.75" customHeight="1">
      <c r="A560" s="7"/>
      <c r="B560" s="7"/>
      <c r="C560" s="7"/>
      <c r="D560" s="7"/>
    </row>
    <row r="561" ht="15.75" customHeight="1">
      <c r="A561" s="7"/>
      <c r="B561" s="7"/>
      <c r="C561" s="7"/>
      <c r="D561" s="7"/>
    </row>
    <row r="562" ht="15.75" customHeight="1">
      <c r="A562" s="7"/>
      <c r="B562" s="7"/>
      <c r="C562" s="7"/>
      <c r="D562" s="7"/>
    </row>
    <row r="563" ht="15.75" customHeight="1">
      <c r="A563" s="7"/>
      <c r="B563" s="7"/>
      <c r="C563" s="7"/>
      <c r="D563" s="7"/>
    </row>
    <row r="564" ht="15.75" customHeight="1">
      <c r="A564" s="7"/>
      <c r="B564" s="7"/>
      <c r="C564" s="7"/>
      <c r="D564" s="7"/>
    </row>
    <row r="565" ht="15.75" customHeight="1">
      <c r="A565" s="7"/>
      <c r="B565" s="7"/>
      <c r="C565" s="7"/>
      <c r="D565" s="7"/>
    </row>
    <row r="566" ht="15.75" customHeight="1">
      <c r="A566" s="7"/>
      <c r="B566" s="7"/>
      <c r="C566" s="7"/>
      <c r="D566" s="7"/>
    </row>
    <row r="567" ht="15.75" customHeight="1">
      <c r="A567" s="7"/>
      <c r="B567" s="7"/>
      <c r="C567" s="7"/>
      <c r="D567" s="7"/>
    </row>
    <row r="568" ht="15.75" customHeight="1">
      <c r="A568" s="7"/>
      <c r="B568" s="7"/>
      <c r="C568" s="7"/>
      <c r="D568" s="7"/>
    </row>
    <row r="569" ht="15.75" customHeight="1">
      <c r="A569" s="7"/>
      <c r="B569" s="7"/>
      <c r="C569" s="7"/>
      <c r="D569" s="7"/>
    </row>
    <row r="570" ht="15.75" customHeight="1">
      <c r="A570" s="7"/>
      <c r="B570" s="7"/>
      <c r="C570" s="7"/>
      <c r="D570" s="7"/>
    </row>
    <row r="571" ht="15.75" customHeight="1">
      <c r="A571" s="7"/>
      <c r="B571" s="7"/>
      <c r="C571" s="7"/>
      <c r="D571" s="7"/>
    </row>
    <row r="572" ht="15.75" customHeight="1">
      <c r="A572" s="7"/>
      <c r="B572" s="7"/>
      <c r="C572" s="7"/>
      <c r="D572" s="7"/>
    </row>
    <row r="573" ht="15.75" customHeight="1">
      <c r="A573" s="7"/>
      <c r="B573" s="7"/>
      <c r="C573" s="7"/>
      <c r="D573" s="7"/>
    </row>
    <row r="574" ht="15.75" customHeight="1">
      <c r="A574" s="7"/>
      <c r="B574" s="7"/>
      <c r="C574" s="7"/>
      <c r="D574" s="7"/>
    </row>
    <row r="575" ht="15.75" customHeight="1">
      <c r="A575" s="7"/>
      <c r="B575" s="7"/>
      <c r="C575" s="7"/>
      <c r="D575" s="7"/>
    </row>
    <row r="576" ht="15.75" customHeight="1">
      <c r="A576" s="7"/>
      <c r="B576" s="7"/>
      <c r="C576" s="7"/>
      <c r="D576" s="7"/>
    </row>
    <row r="577" ht="15.75" customHeight="1">
      <c r="A577" s="7"/>
      <c r="B577" s="7"/>
      <c r="C577" s="7"/>
      <c r="D577" s="7"/>
    </row>
    <row r="578" ht="15.75" customHeight="1">
      <c r="A578" s="7"/>
      <c r="B578" s="7"/>
      <c r="C578" s="7"/>
      <c r="D578" s="7"/>
    </row>
    <row r="579" ht="15.75" customHeight="1">
      <c r="A579" s="7"/>
      <c r="B579" s="7"/>
      <c r="C579" s="7"/>
      <c r="D579" s="7"/>
    </row>
    <row r="580" ht="15.75" customHeight="1">
      <c r="A580" s="7"/>
      <c r="B580" s="7"/>
      <c r="C580" s="7"/>
      <c r="D580" s="7"/>
    </row>
    <row r="581" ht="15.75" customHeight="1">
      <c r="A581" s="7"/>
      <c r="B581" s="7"/>
      <c r="C581" s="7"/>
      <c r="D581" s="7"/>
    </row>
    <row r="582" ht="15.75" customHeight="1">
      <c r="A582" s="7"/>
      <c r="B582" s="7"/>
      <c r="C582" s="7"/>
      <c r="D582" s="7"/>
    </row>
    <row r="583" ht="15.75" customHeight="1">
      <c r="A583" s="7"/>
      <c r="B583" s="7"/>
      <c r="C583" s="7"/>
      <c r="D583" s="7"/>
    </row>
    <row r="584" ht="15.75" customHeight="1">
      <c r="A584" s="7"/>
      <c r="B584" s="7"/>
      <c r="C584" s="7"/>
      <c r="D584" s="7"/>
    </row>
    <row r="585" ht="15.75" customHeight="1">
      <c r="A585" s="7"/>
      <c r="B585" s="7"/>
      <c r="C585" s="7"/>
      <c r="D585" s="7"/>
    </row>
    <row r="586" ht="15.75" customHeight="1">
      <c r="A586" s="7"/>
      <c r="B586" s="7"/>
      <c r="C586" s="7"/>
      <c r="D586" s="7"/>
    </row>
    <row r="587" ht="15.75" customHeight="1">
      <c r="A587" s="7"/>
      <c r="B587" s="7"/>
      <c r="C587" s="7"/>
      <c r="D587" s="7"/>
    </row>
    <row r="588" ht="15.75" customHeight="1">
      <c r="A588" s="7"/>
      <c r="B588" s="7"/>
      <c r="C588" s="7"/>
      <c r="D588" s="7"/>
    </row>
    <row r="589" ht="15.75" customHeight="1">
      <c r="A589" s="7"/>
      <c r="B589" s="7"/>
      <c r="C589" s="7"/>
      <c r="D589" s="7"/>
    </row>
    <row r="590" ht="15.75" customHeight="1">
      <c r="A590" s="7"/>
      <c r="B590" s="7"/>
      <c r="C590" s="7"/>
      <c r="D590" s="7"/>
    </row>
    <row r="591" ht="15.75" customHeight="1">
      <c r="A591" s="7"/>
      <c r="B591" s="7"/>
      <c r="C591" s="7"/>
      <c r="D591" s="7"/>
    </row>
    <row r="592" ht="15.75" customHeight="1">
      <c r="A592" s="7"/>
      <c r="B592" s="7"/>
      <c r="C592" s="7"/>
      <c r="D592" s="7"/>
    </row>
    <row r="593" ht="15.75" customHeight="1">
      <c r="A593" s="7"/>
      <c r="B593" s="7"/>
      <c r="C593" s="7"/>
      <c r="D593" s="7"/>
    </row>
    <row r="594" ht="15.75" customHeight="1">
      <c r="A594" s="7"/>
      <c r="B594" s="7"/>
      <c r="C594" s="7"/>
      <c r="D594" s="7"/>
    </row>
    <row r="595" ht="15.75" customHeight="1">
      <c r="A595" s="7"/>
      <c r="B595" s="7"/>
      <c r="C595" s="7"/>
      <c r="D595" s="7"/>
    </row>
    <row r="596" ht="15.75" customHeight="1">
      <c r="A596" s="7"/>
      <c r="B596" s="7"/>
      <c r="C596" s="7"/>
      <c r="D596" s="7"/>
    </row>
    <row r="597" ht="15.75" customHeight="1">
      <c r="A597" s="7"/>
      <c r="B597" s="7"/>
      <c r="C597" s="7"/>
      <c r="D597" s="7"/>
    </row>
    <row r="598" ht="15.75" customHeight="1">
      <c r="A598" s="7"/>
      <c r="B598" s="7"/>
      <c r="C598" s="7"/>
      <c r="D598" s="7"/>
    </row>
    <row r="599" ht="15.75" customHeight="1">
      <c r="A599" s="7"/>
      <c r="B599" s="7"/>
      <c r="C599" s="7"/>
      <c r="D599" s="7"/>
    </row>
    <row r="600" ht="15.75" customHeight="1">
      <c r="A600" s="7"/>
      <c r="B600" s="7"/>
      <c r="C600" s="7"/>
      <c r="D600" s="7"/>
    </row>
    <row r="601" ht="15.75" customHeight="1">
      <c r="A601" s="7"/>
      <c r="B601" s="7"/>
      <c r="C601" s="7"/>
      <c r="D601" s="7"/>
    </row>
    <row r="602" ht="15.75" customHeight="1">
      <c r="A602" s="7"/>
      <c r="B602" s="7"/>
      <c r="C602" s="7"/>
      <c r="D602" s="7"/>
    </row>
    <row r="603" ht="15.75" customHeight="1">
      <c r="A603" s="7"/>
      <c r="B603" s="7"/>
      <c r="C603" s="7"/>
      <c r="D603" s="7"/>
    </row>
    <row r="604" ht="15.75" customHeight="1">
      <c r="A604" s="7"/>
      <c r="B604" s="7"/>
      <c r="C604" s="7"/>
      <c r="D604" s="7"/>
    </row>
    <row r="605" ht="15.75" customHeight="1">
      <c r="A605" s="7"/>
      <c r="B605" s="7"/>
      <c r="C605" s="7"/>
      <c r="D605" s="7"/>
    </row>
    <row r="606" ht="15.75" customHeight="1">
      <c r="A606" s="7"/>
      <c r="B606" s="7"/>
      <c r="C606" s="7"/>
      <c r="D606" s="7"/>
    </row>
    <row r="607" ht="15.75" customHeight="1">
      <c r="A607" s="7"/>
      <c r="B607" s="7"/>
      <c r="C607" s="7"/>
      <c r="D607" s="7"/>
    </row>
    <row r="608" ht="15.75" customHeight="1">
      <c r="A608" s="7"/>
      <c r="B608" s="7"/>
      <c r="C608" s="7"/>
      <c r="D608" s="7"/>
    </row>
    <row r="609" ht="15.75" customHeight="1">
      <c r="A609" s="7"/>
      <c r="B609" s="7"/>
      <c r="C609" s="7"/>
      <c r="D609" s="7"/>
    </row>
    <row r="610" ht="15.75" customHeight="1">
      <c r="A610" s="7"/>
      <c r="B610" s="7"/>
      <c r="C610" s="7"/>
      <c r="D610" s="7"/>
    </row>
    <row r="611" ht="15.75" customHeight="1">
      <c r="A611" s="7"/>
      <c r="B611" s="7"/>
      <c r="C611" s="7"/>
      <c r="D611" s="7"/>
    </row>
    <row r="612" ht="15.75" customHeight="1">
      <c r="A612" s="7"/>
      <c r="B612" s="7"/>
      <c r="C612" s="7"/>
      <c r="D612" s="7"/>
    </row>
    <row r="613" ht="15.75" customHeight="1">
      <c r="A613" s="7"/>
      <c r="B613" s="7"/>
      <c r="C613" s="7"/>
      <c r="D613" s="7"/>
    </row>
    <row r="614" ht="15.75" customHeight="1">
      <c r="A614" s="7"/>
      <c r="B614" s="7"/>
      <c r="C614" s="7"/>
      <c r="D614" s="7"/>
    </row>
    <row r="615" ht="15.75" customHeight="1">
      <c r="A615" s="7"/>
      <c r="B615" s="7"/>
      <c r="C615" s="7"/>
      <c r="D615" s="7"/>
    </row>
    <row r="616" ht="15.75" customHeight="1">
      <c r="A616" s="7"/>
      <c r="B616" s="7"/>
      <c r="C616" s="7"/>
      <c r="D616" s="7"/>
    </row>
    <row r="617" ht="15.75" customHeight="1">
      <c r="A617" s="7"/>
      <c r="B617" s="7"/>
      <c r="C617" s="7"/>
      <c r="D617" s="7"/>
    </row>
    <row r="618" ht="15.75" customHeight="1">
      <c r="A618" s="7"/>
      <c r="B618" s="7"/>
      <c r="C618" s="7"/>
      <c r="D618" s="7"/>
    </row>
    <row r="619" ht="15.75" customHeight="1">
      <c r="A619" s="7"/>
      <c r="B619" s="7"/>
      <c r="C619" s="7"/>
      <c r="D619" s="7"/>
    </row>
    <row r="620" ht="15.75" customHeight="1">
      <c r="A620" s="7"/>
      <c r="B620" s="7"/>
      <c r="C620" s="7"/>
      <c r="D620" s="7"/>
    </row>
    <row r="621" ht="15.75" customHeight="1">
      <c r="A621" s="7"/>
      <c r="B621" s="7"/>
      <c r="C621" s="7"/>
      <c r="D621" s="7"/>
    </row>
    <row r="622" ht="15.75" customHeight="1">
      <c r="A622" s="7"/>
      <c r="B622" s="7"/>
      <c r="C622" s="7"/>
      <c r="D622" s="7"/>
    </row>
    <row r="623" ht="15.75" customHeight="1">
      <c r="A623" s="7"/>
      <c r="B623" s="7"/>
      <c r="C623" s="7"/>
      <c r="D623" s="7"/>
    </row>
    <row r="624" ht="15.75" customHeight="1">
      <c r="A624" s="7"/>
      <c r="B624" s="7"/>
      <c r="C624" s="7"/>
      <c r="D624" s="7"/>
    </row>
    <row r="625" ht="15.75" customHeight="1">
      <c r="A625" s="7"/>
      <c r="B625" s="7"/>
      <c r="C625" s="7"/>
      <c r="D625" s="7"/>
    </row>
    <row r="626" ht="15.75" customHeight="1">
      <c r="A626" s="7"/>
      <c r="B626" s="7"/>
      <c r="C626" s="7"/>
      <c r="D626" s="7"/>
    </row>
    <row r="627" ht="15.75" customHeight="1">
      <c r="A627" s="7"/>
      <c r="B627" s="7"/>
      <c r="C627" s="7"/>
      <c r="D627" s="7"/>
    </row>
    <row r="628" ht="15.75" customHeight="1">
      <c r="A628" s="7"/>
      <c r="B628" s="7"/>
      <c r="C628" s="7"/>
      <c r="D628" s="7"/>
    </row>
    <row r="629" ht="15.75" customHeight="1">
      <c r="A629" s="7"/>
      <c r="B629" s="7"/>
      <c r="C629" s="7"/>
      <c r="D629" s="7"/>
    </row>
    <row r="630" ht="15.75" customHeight="1">
      <c r="A630" s="7"/>
      <c r="B630" s="7"/>
      <c r="C630" s="7"/>
      <c r="D630" s="7"/>
    </row>
    <row r="631" ht="15.75" customHeight="1">
      <c r="A631" s="7"/>
      <c r="B631" s="7"/>
      <c r="C631" s="7"/>
      <c r="D631" s="7"/>
    </row>
    <row r="632" ht="15.75" customHeight="1">
      <c r="A632" s="7"/>
      <c r="B632" s="7"/>
      <c r="C632" s="7"/>
      <c r="D632" s="7"/>
    </row>
    <row r="633" ht="15.75" customHeight="1">
      <c r="A633" s="7"/>
      <c r="B633" s="7"/>
      <c r="C633" s="7"/>
      <c r="D633" s="7"/>
    </row>
    <row r="634" ht="15.75" customHeight="1">
      <c r="A634" s="7"/>
      <c r="B634" s="7"/>
      <c r="C634" s="7"/>
      <c r="D634" s="7"/>
    </row>
    <row r="635" ht="15.75" customHeight="1">
      <c r="A635" s="7"/>
      <c r="B635" s="7"/>
      <c r="C635" s="7"/>
      <c r="D635" s="7"/>
    </row>
    <row r="636" ht="15.75" customHeight="1">
      <c r="A636" s="7"/>
      <c r="B636" s="7"/>
      <c r="C636" s="7"/>
      <c r="D636" s="7"/>
    </row>
    <row r="637" ht="15.75" customHeight="1">
      <c r="A637" s="7"/>
      <c r="B637" s="7"/>
      <c r="C637" s="7"/>
      <c r="D637" s="7"/>
    </row>
    <row r="638" ht="15.75" customHeight="1">
      <c r="A638" s="7"/>
      <c r="B638" s="7"/>
      <c r="C638" s="7"/>
      <c r="D638" s="7"/>
    </row>
    <row r="639" ht="15.75" customHeight="1">
      <c r="A639" s="7"/>
      <c r="B639" s="7"/>
      <c r="C639" s="7"/>
      <c r="D639" s="7"/>
    </row>
    <row r="640" ht="15.75" customHeight="1">
      <c r="A640" s="7"/>
      <c r="B640" s="7"/>
      <c r="C640" s="7"/>
      <c r="D640" s="7"/>
    </row>
    <row r="641" ht="15.75" customHeight="1">
      <c r="A641" s="7"/>
      <c r="B641" s="7"/>
      <c r="C641" s="7"/>
      <c r="D641" s="7"/>
    </row>
    <row r="642" ht="15.75" customHeight="1">
      <c r="A642" s="7"/>
      <c r="B642" s="7"/>
      <c r="C642" s="7"/>
      <c r="D642" s="7"/>
    </row>
    <row r="643" ht="15.75" customHeight="1">
      <c r="A643" s="7"/>
      <c r="B643" s="7"/>
      <c r="C643" s="7"/>
      <c r="D643" s="7"/>
    </row>
    <row r="644" ht="15.75" customHeight="1">
      <c r="A644" s="7"/>
      <c r="B644" s="7"/>
      <c r="C644" s="7"/>
      <c r="D644" s="7"/>
    </row>
    <row r="645" ht="15.75" customHeight="1">
      <c r="A645" s="7"/>
      <c r="B645" s="7"/>
      <c r="C645" s="7"/>
      <c r="D645" s="7"/>
    </row>
    <row r="646" ht="15.75" customHeight="1">
      <c r="A646" s="7"/>
      <c r="B646" s="7"/>
      <c r="C646" s="7"/>
      <c r="D646" s="7"/>
    </row>
    <row r="647" ht="15.75" customHeight="1">
      <c r="A647" s="7"/>
      <c r="B647" s="7"/>
      <c r="C647" s="7"/>
      <c r="D647" s="7"/>
    </row>
    <row r="648" ht="15.75" customHeight="1">
      <c r="A648" s="7"/>
      <c r="B648" s="7"/>
      <c r="C648" s="7"/>
      <c r="D648" s="7"/>
    </row>
    <row r="649" ht="15.75" customHeight="1">
      <c r="A649" s="7"/>
      <c r="B649" s="7"/>
      <c r="C649" s="7"/>
      <c r="D649" s="7"/>
    </row>
    <row r="650" ht="15.75" customHeight="1">
      <c r="A650" s="7"/>
      <c r="B650" s="7"/>
      <c r="C650" s="7"/>
      <c r="D650" s="7"/>
    </row>
    <row r="651" ht="15.75" customHeight="1">
      <c r="A651" s="7"/>
      <c r="B651" s="7"/>
      <c r="C651" s="7"/>
      <c r="D651" s="7"/>
    </row>
    <row r="652" ht="15.75" customHeight="1">
      <c r="A652" s="7"/>
      <c r="B652" s="7"/>
      <c r="C652" s="7"/>
      <c r="D652" s="7"/>
    </row>
    <row r="653" ht="15.75" customHeight="1">
      <c r="A653" s="7"/>
      <c r="B653" s="7"/>
      <c r="C653" s="7"/>
      <c r="D653" s="7"/>
    </row>
    <row r="654" ht="15.75" customHeight="1">
      <c r="A654" s="7"/>
      <c r="B654" s="7"/>
      <c r="C654" s="7"/>
      <c r="D654" s="7"/>
    </row>
    <row r="655" ht="15.75" customHeight="1">
      <c r="A655" s="7"/>
      <c r="B655" s="7"/>
      <c r="C655" s="7"/>
      <c r="D655" s="7"/>
    </row>
    <row r="656" ht="15.75" customHeight="1">
      <c r="A656" s="7"/>
      <c r="B656" s="7"/>
      <c r="C656" s="7"/>
      <c r="D656" s="7"/>
    </row>
    <row r="657" ht="15.75" customHeight="1">
      <c r="A657" s="7"/>
      <c r="B657" s="7"/>
      <c r="C657" s="7"/>
      <c r="D657" s="7"/>
    </row>
    <row r="658" ht="15.75" customHeight="1">
      <c r="A658" s="7"/>
      <c r="B658" s="7"/>
      <c r="C658" s="7"/>
      <c r="D658" s="7"/>
    </row>
    <row r="659" ht="15.75" customHeight="1">
      <c r="A659" s="7"/>
      <c r="B659" s="7"/>
      <c r="C659" s="7"/>
      <c r="D659" s="7"/>
    </row>
    <row r="660" ht="15.75" customHeight="1">
      <c r="A660" s="7"/>
      <c r="B660" s="7"/>
      <c r="C660" s="7"/>
      <c r="D660" s="7"/>
    </row>
    <row r="661" ht="15.75" customHeight="1">
      <c r="A661" s="7"/>
      <c r="B661" s="7"/>
      <c r="C661" s="7"/>
      <c r="D661" s="7"/>
    </row>
    <row r="662" ht="15.75" customHeight="1">
      <c r="A662" s="7"/>
      <c r="B662" s="7"/>
      <c r="C662" s="7"/>
      <c r="D662" s="7"/>
    </row>
    <row r="663" ht="15.75" customHeight="1">
      <c r="A663" s="7"/>
      <c r="B663" s="7"/>
      <c r="C663" s="7"/>
      <c r="D663" s="7"/>
    </row>
    <row r="664" ht="15.75" customHeight="1">
      <c r="A664" s="7"/>
      <c r="B664" s="7"/>
      <c r="C664" s="7"/>
      <c r="D664" s="7"/>
    </row>
    <row r="665" ht="15.75" customHeight="1">
      <c r="A665" s="7"/>
      <c r="B665" s="7"/>
      <c r="C665" s="7"/>
      <c r="D665" s="7"/>
    </row>
    <row r="666" ht="15.75" customHeight="1">
      <c r="A666" s="7"/>
      <c r="B666" s="7"/>
      <c r="C666" s="7"/>
      <c r="D666" s="7"/>
    </row>
    <row r="667" ht="15.75" customHeight="1">
      <c r="A667" s="7"/>
      <c r="B667" s="7"/>
      <c r="C667" s="7"/>
      <c r="D667" s="7"/>
    </row>
    <row r="668" ht="15.75" customHeight="1">
      <c r="A668" s="7"/>
      <c r="B668" s="7"/>
      <c r="C668" s="7"/>
      <c r="D668" s="7"/>
    </row>
    <row r="669" ht="15.75" customHeight="1">
      <c r="A669" s="7"/>
      <c r="B669" s="7"/>
      <c r="C669" s="7"/>
      <c r="D669" s="7"/>
    </row>
    <row r="670" ht="15.75" customHeight="1">
      <c r="A670" s="7"/>
      <c r="B670" s="7"/>
      <c r="C670" s="7"/>
      <c r="D670" s="7"/>
    </row>
    <row r="671" ht="15.75" customHeight="1">
      <c r="A671" s="7"/>
      <c r="B671" s="7"/>
      <c r="C671" s="7"/>
      <c r="D671" s="7"/>
    </row>
    <row r="672" ht="15.75" customHeight="1">
      <c r="A672" s="7"/>
      <c r="B672" s="7"/>
      <c r="C672" s="7"/>
      <c r="D672" s="7"/>
    </row>
    <row r="673" ht="15.75" customHeight="1">
      <c r="A673" s="7"/>
      <c r="B673" s="7"/>
      <c r="C673" s="7"/>
      <c r="D673" s="7"/>
    </row>
    <row r="674" ht="15.75" customHeight="1">
      <c r="A674" s="7"/>
      <c r="B674" s="7"/>
      <c r="C674" s="7"/>
      <c r="D674" s="7"/>
    </row>
    <row r="675" ht="15.75" customHeight="1">
      <c r="A675" s="7"/>
      <c r="B675" s="7"/>
      <c r="C675" s="7"/>
      <c r="D675" s="7"/>
    </row>
    <row r="676" ht="15.75" customHeight="1">
      <c r="A676" s="7"/>
      <c r="B676" s="7"/>
      <c r="C676" s="7"/>
      <c r="D676" s="7"/>
    </row>
    <row r="677" ht="15.75" customHeight="1">
      <c r="A677" s="7"/>
      <c r="B677" s="7"/>
      <c r="C677" s="7"/>
      <c r="D677" s="7"/>
    </row>
    <row r="678" ht="15.75" customHeight="1">
      <c r="A678" s="7"/>
      <c r="B678" s="7"/>
      <c r="C678" s="7"/>
      <c r="D678" s="7"/>
    </row>
    <row r="679" ht="15.75" customHeight="1">
      <c r="A679" s="7"/>
      <c r="B679" s="7"/>
      <c r="C679" s="7"/>
      <c r="D679" s="7"/>
    </row>
    <row r="680" ht="15.75" customHeight="1">
      <c r="A680" s="7"/>
      <c r="B680" s="7"/>
      <c r="C680" s="7"/>
      <c r="D680" s="7"/>
    </row>
    <row r="681" ht="15.75" customHeight="1">
      <c r="A681" s="7"/>
      <c r="B681" s="7"/>
      <c r="C681" s="7"/>
      <c r="D681" s="7"/>
    </row>
    <row r="682" ht="15.75" customHeight="1">
      <c r="A682" s="7"/>
      <c r="B682" s="7"/>
      <c r="C682" s="7"/>
      <c r="D682" s="7"/>
    </row>
    <row r="683" ht="15.75" customHeight="1">
      <c r="A683" s="7"/>
      <c r="B683" s="7"/>
      <c r="C683" s="7"/>
      <c r="D683" s="7"/>
    </row>
    <row r="684" ht="15.75" customHeight="1">
      <c r="A684" s="7"/>
      <c r="B684" s="7"/>
      <c r="C684" s="7"/>
      <c r="D684" s="7"/>
    </row>
    <row r="685" ht="15.75" customHeight="1">
      <c r="A685" s="7"/>
      <c r="B685" s="7"/>
      <c r="C685" s="7"/>
      <c r="D685" s="7"/>
    </row>
    <row r="686" ht="15.75" customHeight="1">
      <c r="A686" s="7"/>
      <c r="B686" s="7"/>
      <c r="C686" s="7"/>
      <c r="D686" s="7"/>
    </row>
    <row r="687" ht="15.75" customHeight="1">
      <c r="A687" s="7"/>
      <c r="B687" s="7"/>
      <c r="C687" s="7"/>
      <c r="D687" s="7"/>
    </row>
    <row r="688" ht="15.75" customHeight="1">
      <c r="A688" s="7"/>
      <c r="B688" s="7"/>
      <c r="C688" s="7"/>
      <c r="D688" s="7"/>
    </row>
    <row r="689" ht="15.75" customHeight="1">
      <c r="A689" s="7"/>
      <c r="B689" s="7"/>
      <c r="C689" s="7"/>
      <c r="D689" s="7"/>
    </row>
    <row r="690" ht="15.75" customHeight="1">
      <c r="A690" s="7"/>
      <c r="B690" s="7"/>
      <c r="C690" s="7"/>
      <c r="D690" s="7"/>
    </row>
    <row r="691" ht="15.75" customHeight="1">
      <c r="A691" s="7"/>
      <c r="B691" s="7"/>
      <c r="C691" s="7"/>
      <c r="D691" s="7"/>
    </row>
    <row r="692" ht="15.75" customHeight="1">
      <c r="A692" s="7"/>
      <c r="B692" s="7"/>
      <c r="C692" s="7"/>
      <c r="D692" s="7"/>
    </row>
    <row r="693" ht="15.75" customHeight="1">
      <c r="A693" s="7"/>
      <c r="B693" s="7"/>
      <c r="C693" s="7"/>
      <c r="D693" s="7"/>
    </row>
    <row r="694" ht="15.75" customHeight="1">
      <c r="A694" s="7"/>
      <c r="B694" s="7"/>
      <c r="C694" s="7"/>
      <c r="D694" s="7"/>
    </row>
    <row r="695" ht="15.75" customHeight="1">
      <c r="A695" s="7"/>
      <c r="B695" s="7"/>
      <c r="C695" s="7"/>
      <c r="D695" s="7"/>
    </row>
    <row r="696" ht="15.75" customHeight="1">
      <c r="A696" s="7"/>
      <c r="B696" s="7"/>
      <c r="C696" s="7"/>
      <c r="D696" s="7"/>
    </row>
    <row r="697" ht="15.75" customHeight="1">
      <c r="A697" s="7"/>
      <c r="B697" s="7"/>
      <c r="C697" s="7"/>
      <c r="D697" s="7"/>
    </row>
    <row r="698" ht="15.75" customHeight="1">
      <c r="A698" s="7"/>
      <c r="B698" s="7"/>
      <c r="C698" s="7"/>
      <c r="D698" s="7"/>
    </row>
    <row r="699" ht="15.75" customHeight="1">
      <c r="A699" s="7"/>
      <c r="B699" s="7"/>
      <c r="C699" s="7"/>
      <c r="D699" s="7"/>
    </row>
    <row r="700" ht="15.75" customHeight="1">
      <c r="A700" s="7"/>
      <c r="B700" s="7"/>
      <c r="C700" s="7"/>
      <c r="D700" s="7"/>
    </row>
    <row r="701" ht="15.75" customHeight="1">
      <c r="A701" s="7"/>
      <c r="B701" s="7"/>
      <c r="C701" s="7"/>
      <c r="D701" s="7"/>
    </row>
    <row r="702" ht="15.75" customHeight="1">
      <c r="A702" s="7"/>
      <c r="B702" s="7"/>
      <c r="C702" s="7"/>
      <c r="D702" s="7"/>
    </row>
    <row r="703" ht="15.75" customHeight="1">
      <c r="A703" s="7"/>
      <c r="B703" s="7"/>
      <c r="C703" s="7"/>
      <c r="D703" s="7"/>
    </row>
    <row r="704" ht="15.75" customHeight="1">
      <c r="A704" s="7"/>
      <c r="B704" s="7"/>
      <c r="C704" s="7"/>
      <c r="D704" s="7"/>
    </row>
    <row r="705" ht="15.75" customHeight="1">
      <c r="A705" s="7"/>
      <c r="B705" s="7"/>
      <c r="C705" s="7"/>
      <c r="D705" s="7"/>
    </row>
    <row r="706" ht="15.75" customHeight="1">
      <c r="A706" s="7"/>
      <c r="B706" s="7"/>
      <c r="C706" s="7"/>
      <c r="D706" s="7"/>
    </row>
    <row r="707" ht="15.75" customHeight="1">
      <c r="A707" s="7"/>
      <c r="B707" s="7"/>
      <c r="C707" s="7"/>
      <c r="D707" s="7"/>
    </row>
    <row r="708" ht="15.75" customHeight="1">
      <c r="A708" s="7"/>
      <c r="B708" s="7"/>
      <c r="C708" s="7"/>
      <c r="D708" s="7"/>
    </row>
    <row r="709" ht="15.75" customHeight="1">
      <c r="A709" s="7"/>
      <c r="B709" s="7"/>
      <c r="C709" s="7"/>
      <c r="D709" s="7"/>
    </row>
    <row r="710" ht="15.75" customHeight="1">
      <c r="A710" s="7"/>
      <c r="B710" s="7"/>
      <c r="C710" s="7"/>
      <c r="D710" s="7"/>
    </row>
    <row r="711" ht="15.75" customHeight="1">
      <c r="A711" s="7"/>
      <c r="B711" s="7"/>
      <c r="C711" s="7"/>
      <c r="D711" s="7"/>
    </row>
    <row r="712" ht="15.75" customHeight="1">
      <c r="A712" s="7"/>
      <c r="B712" s="7"/>
      <c r="C712" s="7"/>
      <c r="D712" s="7"/>
    </row>
    <row r="713" ht="15.75" customHeight="1">
      <c r="A713" s="7"/>
      <c r="B713" s="7"/>
      <c r="C713" s="7"/>
      <c r="D713" s="7"/>
    </row>
    <row r="714" ht="15.75" customHeight="1">
      <c r="A714" s="7"/>
      <c r="B714" s="7"/>
      <c r="C714" s="7"/>
      <c r="D714" s="7"/>
    </row>
    <row r="715" ht="15.75" customHeight="1">
      <c r="A715" s="7"/>
      <c r="B715" s="7"/>
      <c r="C715" s="7"/>
      <c r="D715" s="7"/>
    </row>
    <row r="716" ht="15.75" customHeight="1">
      <c r="A716" s="7"/>
      <c r="B716" s="7"/>
      <c r="C716" s="7"/>
      <c r="D716" s="7"/>
    </row>
    <row r="717" ht="15.75" customHeight="1">
      <c r="A717" s="7"/>
      <c r="B717" s="7"/>
      <c r="C717" s="7"/>
      <c r="D717" s="7"/>
    </row>
    <row r="718" ht="15.75" customHeight="1">
      <c r="A718" s="7"/>
      <c r="B718" s="7"/>
      <c r="C718" s="7"/>
      <c r="D718" s="7"/>
    </row>
    <row r="719" ht="15.75" customHeight="1">
      <c r="A719" s="7"/>
      <c r="B719" s="7"/>
      <c r="C719" s="7"/>
      <c r="D719" s="7"/>
    </row>
    <row r="720" ht="15.75" customHeight="1">
      <c r="A720" s="7"/>
      <c r="B720" s="7"/>
      <c r="C720" s="7"/>
      <c r="D720" s="7"/>
    </row>
    <row r="721" ht="15.75" customHeight="1">
      <c r="A721" s="7"/>
      <c r="B721" s="7"/>
      <c r="C721" s="7"/>
      <c r="D721" s="7"/>
    </row>
    <row r="722" ht="15.75" customHeight="1">
      <c r="A722" s="7"/>
      <c r="B722" s="7"/>
      <c r="C722" s="7"/>
      <c r="D722" s="7"/>
    </row>
    <row r="723" ht="15.75" customHeight="1">
      <c r="A723" s="7"/>
      <c r="B723" s="7"/>
      <c r="C723" s="7"/>
      <c r="D723" s="7"/>
    </row>
    <row r="724" ht="15.75" customHeight="1">
      <c r="A724" s="7"/>
      <c r="B724" s="7"/>
      <c r="C724" s="7"/>
      <c r="D724" s="7"/>
    </row>
    <row r="725" ht="15.75" customHeight="1">
      <c r="A725" s="7"/>
      <c r="B725" s="7"/>
      <c r="C725" s="7"/>
      <c r="D725" s="7"/>
    </row>
    <row r="726" ht="15.75" customHeight="1">
      <c r="A726" s="7"/>
      <c r="B726" s="7"/>
      <c r="C726" s="7"/>
      <c r="D726" s="7"/>
    </row>
    <row r="727" ht="15.75" customHeight="1">
      <c r="A727" s="7"/>
      <c r="B727" s="7"/>
      <c r="C727" s="7"/>
      <c r="D727" s="7"/>
    </row>
    <row r="728" ht="15.75" customHeight="1">
      <c r="A728" s="7"/>
      <c r="B728" s="7"/>
      <c r="C728" s="7"/>
      <c r="D728" s="7"/>
    </row>
    <row r="729" ht="15.75" customHeight="1">
      <c r="A729" s="7"/>
      <c r="B729" s="7"/>
      <c r="C729" s="7"/>
      <c r="D729" s="7"/>
    </row>
    <row r="730" ht="15.75" customHeight="1">
      <c r="A730" s="7"/>
      <c r="B730" s="7"/>
      <c r="C730" s="7"/>
      <c r="D730" s="7"/>
    </row>
    <row r="731" ht="15.75" customHeight="1">
      <c r="A731" s="7"/>
      <c r="B731" s="7"/>
      <c r="C731" s="7"/>
      <c r="D731" s="7"/>
    </row>
    <row r="732" ht="15.75" customHeight="1">
      <c r="A732" s="7"/>
      <c r="B732" s="7"/>
      <c r="C732" s="7"/>
      <c r="D732" s="7"/>
    </row>
    <row r="733" ht="15.75" customHeight="1">
      <c r="A733" s="7"/>
      <c r="B733" s="7"/>
      <c r="C733" s="7"/>
      <c r="D733" s="7"/>
    </row>
    <row r="734" ht="15.75" customHeight="1">
      <c r="A734" s="7"/>
      <c r="B734" s="7"/>
      <c r="C734" s="7"/>
      <c r="D734" s="7"/>
    </row>
    <row r="735" ht="15.75" customHeight="1">
      <c r="A735" s="7"/>
      <c r="B735" s="7"/>
      <c r="C735" s="7"/>
      <c r="D735" s="7"/>
    </row>
    <row r="736" ht="15.75" customHeight="1">
      <c r="A736" s="7"/>
      <c r="B736" s="7"/>
      <c r="C736" s="7"/>
      <c r="D736" s="7"/>
    </row>
    <row r="737" ht="15.75" customHeight="1">
      <c r="A737" s="7"/>
      <c r="B737" s="7"/>
      <c r="C737" s="7"/>
      <c r="D737" s="7"/>
    </row>
    <row r="738" ht="15.75" customHeight="1">
      <c r="A738" s="7"/>
      <c r="B738" s="7"/>
      <c r="C738" s="7"/>
      <c r="D738" s="7"/>
    </row>
    <row r="739" ht="15.75" customHeight="1">
      <c r="A739" s="7"/>
      <c r="B739" s="7"/>
      <c r="C739" s="7"/>
      <c r="D739" s="7"/>
    </row>
    <row r="740" ht="15.75" customHeight="1">
      <c r="A740" s="7"/>
      <c r="B740" s="7"/>
      <c r="C740" s="7"/>
      <c r="D740" s="7"/>
    </row>
    <row r="741" ht="15.75" customHeight="1">
      <c r="A741" s="7"/>
      <c r="B741" s="7"/>
      <c r="C741" s="7"/>
      <c r="D741" s="7"/>
    </row>
    <row r="742" ht="15.75" customHeight="1">
      <c r="A742" s="7"/>
      <c r="B742" s="7"/>
      <c r="C742" s="7"/>
      <c r="D742" s="7"/>
    </row>
    <row r="743" ht="15.75" customHeight="1">
      <c r="A743" s="7"/>
      <c r="B743" s="7"/>
      <c r="C743" s="7"/>
      <c r="D743" s="7"/>
    </row>
    <row r="744" ht="15.75" customHeight="1">
      <c r="A744" s="7"/>
      <c r="B744" s="7"/>
      <c r="C744" s="7"/>
      <c r="D744" s="7"/>
    </row>
    <row r="745" ht="15.75" customHeight="1">
      <c r="A745" s="7"/>
      <c r="B745" s="7"/>
      <c r="C745" s="7"/>
      <c r="D745" s="7"/>
    </row>
    <row r="746" ht="15.75" customHeight="1">
      <c r="A746" s="7"/>
      <c r="B746" s="7"/>
      <c r="C746" s="7"/>
      <c r="D746" s="7"/>
    </row>
    <row r="747" ht="15.75" customHeight="1">
      <c r="A747" s="7"/>
      <c r="B747" s="7"/>
      <c r="C747" s="7"/>
      <c r="D747" s="7"/>
    </row>
    <row r="748" ht="15.75" customHeight="1">
      <c r="A748" s="7"/>
      <c r="B748" s="7"/>
      <c r="C748" s="7"/>
      <c r="D748" s="7"/>
    </row>
    <row r="749" ht="15.75" customHeight="1">
      <c r="A749" s="7"/>
      <c r="B749" s="7"/>
      <c r="C749" s="7"/>
      <c r="D749" s="7"/>
    </row>
    <row r="750" ht="15.75" customHeight="1">
      <c r="A750" s="7"/>
      <c r="B750" s="7"/>
      <c r="C750" s="7"/>
      <c r="D750" s="7"/>
    </row>
    <row r="751" ht="15.75" customHeight="1">
      <c r="A751" s="7"/>
      <c r="B751" s="7"/>
      <c r="C751" s="7"/>
      <c r="D751" s="7"/>
    </row>
    <row r="752" ht="15.75" customHeight="1">
      <c r="A752" s="7"/>
      <c r="B752" s="7"/>
      <c r="C752" s="7"/>
      <c r="D752" s="7"/>
    </row>
    <row r="753" ht="15.75" customHeight="1">
      <c r="A753" s="7"/>
      <c r="B753" s="7"/>
      <c r="C753" s="7"/>
      <c r="D753" s="7"/>
    </row>
    <row r="754" ht="15.75" customHeight="1">
      <c r="A754" s="7"/>
      <c r="B754" s="7"/>
      <c r="C754" s="7"/>
      <c r="D754" s="7"/>
    </row>
    <row r="755" ht="15.75" customHeight="1">
      <c r="A755" s="7"/>
      <c r="B755" s="7"/>
      <c r="C755" s="7"/>
      <c r="D755" s="7"/>
    </row>
    <row r="756" ht="15.75" customHeight="1">
      <c r="A756" s="7"/>
      <c r="B756" s="7"/>
      <c r="C756" s="7"/>
      <c r="D756" s="7"/>
    </row>
    <row r="757" ht="15.75" customHeight="1">
      <c r="A757" s="7"/>
      <c r="B757" s="7"/>
      <c r="C757" s="7"/>
      <c r="D757" s="7"/>
    </row>
    <row r="758" ht="15.75" customHeight="1">
      <c r="A758" s="7"/>
      <c r="B758" s="7"/>
      <c r="C758" s="7"/>
      <c r="D758" s="7"/>
    </row>
    <row r="759" ht="15.75" customHeight="1">
      <c r="A759" s="7"/>
      <c r="B759" s="7"/>
      <c r="C759" s="7"/>
      <c r="D759" s="7"/>
    </row>
    <row r="760" ht="15.75" customHeight="1">
      <c r="A760" s="7"/>
      <c r="B760" s="7"/>
      <c r="C760" s="7"/>
      <c r="D760" s="7"/>
    </row>
    <row r="761" ht="15.75" customHeight="1">
      <c r="A761" s="7"/>
      <c r="B761" s="7"/>
      <c r="C761" s="7"/>
      <c r="D761" s="7"/>
    </row>
    <row r="762" ht="15.75" customHeight="1">
      <c r="A762" s="7"/>
      <c r="B762" s="7"/>
      <c r="C762" s="7"/>
      <c r="D762" s="7"/>
    </row>
    <row r="763" ht="15.75" customHeight="1">
      <c r="A763" s="7"/>
      <c r="B763" s="7"/>
      <c r="C763" s="7"/>
      <c r="D763" s="7"/>
    </row>
    <row r="764" ht="15.75" customHeight="1">
      <c r="A764" s="7"/>
      <c r="B764" s="7"/>
      <c r="C764" s="7"/>
      <c r="D764" s="7"/>
    </row>
    <row r="765" ht="15.75" customHeight="1">
      <c r="A765" s="7"/>
      <c r="B765" s="7"/>
      <c r="C765" s="7"/>
      <c r="D765" s="7"/>
    </row>
    <row r="766" ht="15.75" customHeight="1">
      <c r="A766" s="7"/>
      <c r="B766" s="7"/>
      <c r="C766" s="7"/>
      <c r="D766" s="7"/>
    </row>
    <row r="767" ht="15.75" customHeight="1">
      <c r="A767" s="7"/>
      <c r="B767" s="7"/>
      <c r="C767" s="7"/>
      <c r="D767" s="7"/>
    </row>
    <row r="768" ht="15.75" customHeight="1">
      <c r="A768" s="7"/>
      <c r="B768" s="7"/>
      <c r="C768" s="7"/>
      <c r="D768" s="7"/>
    </row>
    <row r="769" ht="15.75" customHeight="1">
      <c r="A769" s="7"/>
      <c r="B769" s="7"/>
      <c r="C769" s="7"/>
      <c r="D769" s="7"/>
    </row>
    <row r="770" ht="15.75" customHeight="1">
      <c r="A770" s="7"/>
      <c r="B770" s="7"/>
      <c r="C770" s="7"/>
      <c r="D770" s="7"/>
    </row>
    <row r="771" ht="15.75" customHeight="1">
      <c r="A771" s="7"/>
      <c r="B771" s="7"/>
      <c r="C771" s="7"/>
      <c r="D771" s="7"/>
    </row>
    <row r="772" ht="15.75" customHeight="1">
      <c r="A772" s="7"/>
      <c r="B772" s="7"/>
      <c r="C772" s="7"/>
      <c r="D772" s="7"/>
    </row>
    <row r="773" ht="15.75" customHeight="1">
      <c r="A773" s="7"/>
      <c r="B773" s="7"/>
      <c r="C773" s="7"/>
      <c r="D773" s="7"/>
    </row>
    <row r="774" ht="15.75" customHeight="1">
      <c r="A774" s="7"/>
      <c r="B774" s="7"/>
      <c r="C774" s="7"/>
      <c r="D774" s="7"/>
    </row>
    <row r="775" ht="15.75" customHeight="1">
      <c r="A775" s="7"/>
      <c r="B775" s="7"/>
      <c r="C775" s="7"/>
      <c r="D775" s="7"/>
    </row>
    <row r="776" ht="15.75" customHeight="1">
      <c r="A776" s="7"/>
      <c r="B776" s="7"/>
      <c r="C776" s="7"/>
      <c r="D776" s="7"/>
    </row>
    <row r="777" ht="15.75" customHeight="1">
      <c r="A777" s="7"/>
      <c r="B777" s="7"/>
      <c r="C777" s="7"/>
      <c r="D777" s="7"/>
    </row>
    <row r="778" ht="15.75" customHeight="1">
      <c r="A778" s="7"/>
      <c r="B778" s="7"/>
      <c r="C778" s="7"/>
      <c r="D778" s="7"/>
    </row>
    <row r="779" ht="15.75" customHeight="1">
      <c r="A779" s="7"/>
      <c r="B779" s="7"/>
      <c r="C779" s="7"/>
      <c r="D779" s="7"/>
    </row>
    <row r="780" ht="15.75" customHeight="1">
      <c r="A780" s="7"/>
      <c r="B780" s="7"/>
      <c r="C780" s="7"/>
      <c r="D780" s="7"/>
    </row>
    <row r="781" ht="15.75" customHeight="1">
      <c r="A781" s="7"/>
      <c r="B781" s="7"/>
      <c r="C781" s="7"/>
      <c r="D781" s="7"/>
    </row>
    <row r="782" ht="15.75" customHeight="1">
      <c r="A782" s="7"/>
      <c r="B782" s="7"/>
      <c r="C782" s="7"/>
      <c r="D782" s="7"/>
    </row>
    <row r="783" ht="15.75" customHeight="1">
      <c r="A783" s="7"/>
      <c r="B783" s="7"/>
      <c r="C783" s="7"/>
      <c r="D783" s="7"/>
    </row>
    <row r="784" ht="15.75" customHeight="1">
      <c r="A784" s="7"/>
      <c r="B784" s="7"/>
      <c r="C784" s="7"/>
      <c r="D784" s="7"/>
    </row>
    <row r="785" ht="15.75" customHeight="1">
      <c r="A785" s="7"/>
      <c r="B785" s="7"/>
      <c r="C785" s="7"/>
      <c r="D785" s="7"/>
    </row>
    <row r="786" ht="15.75" customHeight="1">
      <c r="A786" s="7"/>
      <c r="B786" s="7"/>
      <c r="C786" s="7"/>
      <c r="D786" s="7"/>
    </row>
    <row r="787" ht="15.75" customHeight="1">
      <c r="A787" s="7"/>
      <c r="B787" s="7"/>
      <c r="C787" s="7"/>
      <c r="D787" s="7"/>
    </row>
    <row r="788" ht="15.75" customHeight="1">
      <c r="A788" s="7"/>
      <c r="B788" s="7"/>
      <c r="C788" s="7"/>
      <c r="D788" s="7"/>
    </row>
    <row r="789" ht="15.75" customHeight="1">
      <c r="A789" s="7"/>
      <c r="B789" s="7"/>
      <c r="C789" s="7"/>
      <c r="D789" s="7"/>
    </row>
    <row r="790" ht="15.75" customHeight="1">
      <c r="A790" s="7"/>
      <c r="B790" s="7"/>
      <c r="C790" s="7"/>
      <c r="D790" s="7"/>
    </row>
    <row r="791" ht="15.75" customHeight="1">
      <c r="A791" s="7"/>
      <c r="B791" s="7"/>
      <c r="C791" s="7"/>
      <c r="D791" s="7"/>
    </row>
    <row r="792" ht="15.75" customHeight="1">
      <c r="A792" s="7"/>
      <c r="B792" s="7"/>
      <c r="C792" s="7"/>
      <c r="D792" s="7"/>
    </row>
    <row r="793" ht="15.75" customHeight="1">
      <c r="A793" s="7"/>
      <c r="B793" s="7"/>
      <c r="C793" s="7"/>
      <c r="D793" s="7"/>
    </row>
    <row r="794" ht="15.75" customHeight="1">
      <c r="A794" s="7"/>
      <c r="B794" s="7"/>
      <c r="C794" s="7"/>
      <c r="D794" s="7"/>
    </row>
    <row r="795" ht="15.75" customHeight="1">
      <c r="A795" s="7"/>
      <c r="B795" s="7"/>
      <c r="C795" s="7"/>
      <c r="D795" s="7"/>
    </row>
    <row r="796" ht="15.75" customHeight="1">
      <c r="A796" s="7"/>
      <c r="B796" s="7"/>
      <c r="C796" s="7"/>
      <c r="D796" s="7"/>
    </row>
    <row r="797" ht="15.75" customHeight="1">
      <c r="A797" s="7"/>
      <c r="B797" s="7"/>
      <c r="C797" s="7"/>
      <c r="D797" s="7"/>
    </row>
    <row r="798" ht="15.75" customHeight="1">
      <c r="A798" s="7"/>
      <c r="B798" s="7"/>
      <c r="C798" s="7"/>
      <c r="D798" s="7"/>
    </row>
    <row r="799" ht="15.75" customHeight="1">
      <c r="A799" s="7"/>
      <c r="B799" s="7"/>
      <c r="C799" s="7"/>
      <c r="D799" s="7"/>
    </row>
    <row r="800" ht="15.75" customHeight="1">
      <c r="A800" s="7"/>
      <c r="B800" s="7"/>
      <c r="C800" s="7"/>
      <c r="D800" s="7"/>
    </row>
    <row r="801" ht="15.75" customHeight="1">
      <c r="A801" s="7"/>
      <c r="B801" s="7"/>
      <c r="C801" s="7"/>
      <c r="D801" s="7"/>
    </row>
    <row r="802" ht="15.75" customHeight="1">
      <c r="A802" s="7"/>
      <c r="B802" s="7"/>
      <c r="C802" s="7"/>
      <c r="D802" s="7"/>
    </row>
    <row r="803" ht="15.75" customHeight="1">
      <c r="A803" s="7"/>
      <c r="B803" s="7"/>
      <c r="C803" s="7"/>
      <c r="D803" s="7"/>
    </row>
    <row r="804" ht="15.75" customHeight="1">
      <c r="A804" s="7"/>
      <c r="B804" s="7"/>
      <c r="C804" s="7"/>
      <c r="D804" s="7"/>
    </row>
    <row r="805" ht="15.75" customHeight="1">
      <c r="A805" s="7"/>
      <c r="B805" s="7"/>
      <c r="C805" s="7"/>
      <c r="D805" s="7"/>
    </row>
    <row r="806" ht="15.75" customHeight="1">
      <c r="A806" s="7"/>
      <c r="B806" s="7"/>
      <c r="C806" s="7"/>
      <c r="D806" s="7"/>
    </row>
    <row r="807" ht="15.75" customHeight="1">
      <c r="A807" s="7"/>
      <c r="B807" s="7"/>
      <c r="C807" s="7"/>
      <c r="D807" s="7"/>
    </row>
    <row r="808" ht="15.75" customHeight="1">
      <c r="A808" s="7"/>
      <c r="B808" s="7"/>
      <c r="C808" s="7"/>
      <c r="D808" s="7"/>
    </row>
    <row r="809" ht="15.75" customHeight="1">
      <c r="A809" s="7"/>
      <c r="B809" s="7"/>
      <c r="C809" s="7"/>
      <c r="D809" s="7"/>
    </row>
    <row r="810" ht="15.75" customHeight="1">
      <c r="A810" s="7"/>
      <c r="B810" s="7"/>
      <c r="C810" s="7"/>
      <c r="D810" s="7"/>
    </row>
    <row r="811" ht="15.75" customHeight="1">
      <c r="A811" s="7"/>
      <c r="B811" s="7"/>
      <c r="C811" s="7"/>
      <c r="D811" s="7"/>
    </row>
    <row r="812" ht="15.75" customHeight="1">
      <c r="A812" s="7"/>
      <c r="B812" s="7"/>
      <c r="C812" s="7"/>
      <c r="D812" s="7"/>
    </row>
    <row r="813" ht="15.75" customHeight="1">
      <c r="A813" s="7"/>
      <c r="B813" s="7"/>
      <c r="C813" s="7"/>
      <c r="D813" s="7"/>
    </row>
    <row r="814" ht="15.75" customHeight="1">
      <c r="A814" s="7"/>
      <c r="B814" s="7"/>
      <c r="C814" s="7"/>
      <c r="D814" s="7"/>
    </row>
    <row r="815" ht="15.75" customHeight="1">
      <c r="A815" s="7"/>
      <c r="B815" s="7"/>
      <c r="C815" s="7"/>
      <c r="D815" s="7"/>
    </row>
    <row r="816" ht="15.75" customHeight="1">
      <c r="A816" s="7"/>
      <c r="B816" s="7"/>
      <c r="C816" s="7"/>
      <c r="D816" s="7"/>
    </row>
    <row r="817" ht="15.75" customHeight="1">
      <c r="A817" s="7"/>
      <c r="B817" s="7"/>
      <c r="C817" s="7"/>
      <c r="D817" s="7"/>
    </row>
    <row r="818" ht="15.75" customHeight="1">
      <c r="A818" s="7"/>
      <c r="B818" s="7"/>
      <c r="C818" s="7"/>
      <c r="D818" s="7"/>
    </row>
    <row r="819" ht="15.75" customHeight="1">
      <c r="A819" s="7"/>
      <c r="B819" s="7"/>
      <c r="C819" s="7"/>
      <c r="D819" s="7"/>
    </row>
    <row r="820" ht="15.75" customHeight="1">
      <c r="A820" s="7"/>
      <c r="B820" s="7"/>
      <c r="C820" s="7"/>
      <c r="D820" s="7"/>
    </row>
    <row r="821" ht="15.75" customHeight="1">
      <c r="A821" s="7"/>
      <c r="B821" s="7"/>
      <c r="C821" s="7"/>
      <c r="D821" s="7"/>
    </row>
    <row r="822" ht="15.75" customHeight="1">
      <c r="A822" s="7"/>
      <c r="B822" s="7"/>
      <c r="C822" s="7"/>
      <c r="D822" s="7"/>
    </row>
    <row r="823" ht="15.75" customHeight="1">
      <c r="A823" s="7"/>
      <c r="B823" s="7"/>
      <c r="C823" s="7"/>
      <c r="D823" s="7"/>
    </row>
    <row r="824" ht="15.75" customHeight="1">
      <c r="A824" s="7"/>
      <c r="B824" s="7"/>
      <c r="C824" s="7"/>
      <c r="D824" s="7"/>
    </row>
    <row r="825" ht="15.75" customHeight="1">
      <c r="A825" s="7"/>
      <c r="B825" s="7"/>
      <c r="C825" s="7"/>
      <c r="D825" s="7"/>
    </row>
    <row r="826" ht="15.75" customHeight="1">
      <c r="A826" s="7"/>
      <c r="B826" s="7"/>
      <c r="C826" s="7"/>
      <c r="D826" s="7"/>
    </row>
    <row r="827" ht="15.75" customHeight="1">
      <c r="A827" s="7"/>
      <c r="B827" s="7"/>
      <c r="C827" s="7"/>
      <c r="D827" s="7"/>
    </row>
    <row r="828" ht="15.75" customHeight="1">
      <c r="A828" s="7"/>
      <c r="B828" s="7"/>
      <c r="C828" s="7"/>
      <c r="D828" s="7"/>
    </row>
    <row r="829" ht="15.75" customHeight="1">
      <c r="A829" s="7"/>
      <c r="B829" s="7"/>
      <c r="C829" s="7"/>
      <c r="D829" s="7"/>
    </row>
    <row r="830" ht="15.75" customHeight="1">
      <c r="A830" s="7"/>
      <c r="B830" s="7"/>
      <c r="C830" s="7"/>
      <c r="D830" s="7"/>
    </row>
    <row r="831" ht="15.75" customHeight="1">
      <c r="A831" s="7"/>
      <c r="B831" s="7"/>
      <c r="C831" s="7"/>
      <c r="D831" s="7"/>
    </row>
    <row r="832" ht="15.75" customHeight="1">
      <c r="A832" s="7"/>
      <c r="B832" s="7"/>
      <c r="C832" s="7"/>
      <c r="D832" s="7"/>
    </row>
    <row r="833" ht="15.75" customHeight="1">
      <c r="A833" s="7"/>
      <c r="B833" s="7"/>
      <c r="C833" s="7"/>
      <c r="D833" s="7"/>
    </row>
    <row r="834" ht="15.75" customHeight="1">
      <c r="A834" s="7"/>
      <c r="B834" s="7"/>
      <c r="C834" s="7"/>
      <c r="D834" s="7"/>
    </row>
    <row r="835" ht="15.75" customHeight="1">
      <c r="A835" s="7"/>
      <c r="B835" s="7"/>
      <c r="C835" s="7"/>
      <c r="D835" s="7"/>
    </row>
    <row r="836" ht="15.75" customHeight="1">
      <c r="A836" s="7"/>
      <c r="B836" s="7"/>
      <c r="C836" s="7"/>
      <c r="D836" s="7"/>
    </row>
    <row r="837" ht="15.75" customHeight="1">
      <c r="A837" s="7"/>
      <c r="B837" s="7"/>
      <c r="C837" s="7"/>
      <c r="D837" s="7"/>
    </row>
    <row r="838" ht="15.75" customHeight="1">
      <c r="A838" s="7"/>
      <c r="B838" s="7"/>
      <c r="C838" s="7"/>
      <c r="D838" s="7"/>
    </row>
    <row r="839" ht="15.75" customHeight="1">
      <c r="A839" s="7"/>
      <c r="B839" s="7"/>
      <c r="C839" s="7"/>
      <c r="D839" s="7"/>
    </row>
    <row r="840" ht="15.75" customHeight="1">
      <c r="A840" s="7"/>
      <c r="B840" s="7"/>
      <c r="C840" s="7"/>
      <c r="D840" s="7"/>
    </row>
    <row r="841" ht="15.75" customHeight="1">
      <c r="A841" s="7"/>
      <c r="B841" s="7"/>
      <c r="C841" s="7"/>
      <c r="D841" s="7"/>
    </row>
    <row r="842" ht="15.75" customHeight="1">
      <c r="A842" s="7"/>
      <c r="B842" s="7"/>
      <c r="C842" s="7"/>
      <c r="D842" s="7"/>
    </row>
    <row r="843" ht="15.75" customHeight="1">
      <c r="A843" s="7"/>
      <c r="B843" s="7"/>
      <c r="C843" s="7"/>
      <c r="D843" s="7"/>
    </row>
    <row r="844" ht="15.75" customHeight="1">
      <c r="A844" s="7"/>
      <c r="B844" s="7"/>
      <c r="C844" s="7"/>
      <c r="D844" s="7"/>
    </row>
    <row r="845" ht="15.75" customHeight="1">
      <c r="A845" s="7"/>
      <c r="B845" s="7"/>
      <c r="C845" s="7"/>
      <c r="D845" s="7"/>
    </row>
    <row r="846" ht="15.75" customHeight="1">
      <c r="A846" s="7"/>
      <c r="B846" s="7"/>
      <c r="C846" s="7"/>
      <c r="D846" s="7"/>
    </row>
    <row r="847" ht="15.75" customHeight="1">
      <c r="A847" s="7"/>
      <c r="B847" s="7"/>
      <c r="C847" s="7"/>
      <c r="D847" s="7"/>
    </row>
    <row r="848" ht="15.75" customHeight="1">
      <c r="A848" s="7"/>
      <c r="B848" s="7"/>
      <c r="C848" s="7"/>
      <c r="D848" s="7"/>
    </row>
    <row r="849" ht="15.75" customHeight="1">
      <c r="A849" s="7"/>
      <c r="B849" s="7"/>
      <c r="C849" s="7"/>
      <c r="D849" s="7"/>
    </row>
    <row r="850" ht="15.75" customHeight="1">
      <c r="A850" s="7"/>
      <c r="B850" s="7"/>
      <c r="C850" s="7"/>
      <c r="D850" s="7"/>
    </row>
    <row r="851" ht="15.75" customHeight="1">
      <c r="A851" s="7"/>
      <c r="B851" s="7"/>
      <c r="C851" s="7"/>
      <c r="D851" s="7"/>
    </row>
    <row r="852" ht="15.75" customHeight="1">
      <c r="A852" s="7"/>
      <c r="B852" s="7"/>
      <c r="C852" s="7"/>
      <c r="D852" s="7"/>
    </row>
    <row r="853" ht="15.75" customHeight="1">
      <c r="A853" s="7"/>
      <c r="B853" s="7"/>
      <c r="C853" s="7"/>
      <c r="D853" s="7"/>
    </row>
    <row r="854" ht="15.75" customHeight="1">
      <c r="A854" s="7"/>
      <c r="B854" s="7"/>
      <c r="C854" s="7"/>
      <c r="D854" s="7"/>
    </row>
    <row r="855" ht="15.75" customHeight="1">
      <c r="A855" s="7"/>
      <c r="B855" s="7"/>
      <c r="C855" s="7"/>
      <c r="D855" s="7"/>
    </row>
    <row r="856" ht="15.75" customHeight="1">
      <c r="A856" s="7"/>
      <c r="B856" s="7"/>
      <c r="C856" s="7"/>
      <c r="D856" s="7"/>
    </row>
    <row r="857" ht="15.75" customHeight="1">
      <c r="A857" s="7"/>
      <c r="B857" s="7"/>
      <c r="C857" s="7"/>
      <c r="D857" s="7"/>
    </row>
    <row r="858" ht="15.75" customHeight="1">
      <c r="A858" s="7"/>
      <c r="B858" s="7"/>
      <c r="C858" s="7"/>
      <c r="D858" s="7"/>
    </row>
    <row r="859" ht="15.75" customHeight="1">
      <c r="A859" s="7"/>
      <c r="B859" s="7"/>
      <c r="C859" s="7"/>
      <c r="D859" s="7"/>
    </row>
    <row r="860" ht="15.75" customHeight="1">
      <c r="A860" s="7"/>
      <c r="B860" s="7"/>
      <c r="C860" s="7"/>
      <c r="D860" s="7"/>
    </row>
    <row r="861" ht="15.75" customHeight="1">
      <c r="A861" s="7"/>
      <c r="B861" s="7"/>
      <c r="C861" s="7"/>
      <c r="D861" s="7"/>
    </row>
    <row r="862" ht="15.75" customHeight="1">
      <c r="A862" s="7"/>
      <c r="B862" s="7"/>
      <c r="C862" s="7"/>
      <c r="D862" s="7"/>
    </row>
    <row r="863" ht="15.75" customHeight="1">
      <c r="A863" s="7"/>
      <c r="B863" s="7"/>
      <c r="C863" s="7"/>
      <c r="D863" s="7"/>
    </row>
    <row r="864" ht="15.75" customHeight="1">
      <c r="A864" s="7"/>
      <c r="B864" s="7"/>
      <c r="C864" s="7"/>
      <c r="D864" s="7"/>
    </row>
    <row r="865" ht="15.75" customHeight="1">
      <c r="A865" s="7"/>
      <c r="B865" s="7"/>
      <c r="C865" s="7"/>
      <c r="D865" s="7"/>
    </row>
    <row r="866" ht="15.75" customHeight="1">
      <c r="A866" s="7"/>
      <c r="B866" s="7"/>
      <c r="C866" s="7"/>
      <c r="D866" s="7"/>
    </row>
    <row r="867" ht="15.75" customHeight="1">
      <c r="A867" s="7"/>
      <c r="B867" s="7"/>
      <c r="C867" s="7"/>
      <c r="D867" s="7"/>
    </row>
    <row r="868" ht="15.75" customHeight="1">
      <c r="A868" s="7"/>
      <c r="B868" s="7"/>
      <c r="C868" s="7"/>
      <c r="D868" s="7"/>
    </row>
    <row r="869" ht="15.75" customHeight="1">
      <c r="A869" s="7"/>
      <c r="B869" s="7"/>
      <c r="C869" s="7"/>
      <c r="D869" s="7"/>
    </row>
    <row r="870" ht="15.75" customHeight="1">
      <c r="A870" s="7"/>
      <c r="B870" s="7"/>
      <c r="C870" s="7"/>
      <c r="D870" s="7"/>
    </row>
    <row r="871" ht="15.75" customHeight="1">
      <c r="A871" s="7"/>
      <c r="B871" s="7"/>
      <c r="C871" s="7"/>
      <c r="D871" s="7"/>
    </row>
    <row r="872" ht="15.75" customHeight="1">
      <c r="A872" s="7"/>
      <c r="B872" s="7"/>
      <c r="C872" s="7"/>
      <c r="D872" s="7"/>
    </row>
    <row r="873" ht="15.75" customHeight="1">
      <c r="A873" s="7"/>
      <c r="B873" s="7"/>
      <c r="C873" s="7"/>
      <c r="D873" s="7"/>
    </row>
    <row r="874" ht="15.75" customHeight="1">
      <c r="A874" s="7"/>
      <c r="B874" s="7"/>
      <c r="C874" s="7"/>
      <c r="D874" s="7"/>
    </row>
    <row r="875" ht="15.75" customHeight="1">
      <c r="A875" s="7"/>
      <c r="B875" s="7"/>
      <c r="C875" s="7"/>
      <c r="D875" s="7"/>
    </row>
    <row r="876" ht="15.75" customHeight="1">
      <c r="A876" s="7"/>
      <c r="B876" s="7"/>
      <c r="C876" s="7"/>
      <c r="D876" s="7"/>
    </row>
    <row r="877" ht="15.75" customHeight="1">
      <c r="A877" s="7"/>
      <c r="B877" s="7"/>
      <c r="C877" s="7"/>
      <c r="D877" s="7"/>
    </row>
    <row r="878" ht="15.75" customHeight="1">
      <c r="A878" s="7"/>
      <c r="B878" s="7"/>
      <c r="C878" s="7"/>
      <c r="D878" s="7"/>
    </row>
    <row r="879" ht="15.75" customHeight="1">
      <c r="A879" s="7"/>
      <c r="B879" s="7"/>
      <c r="C879" s="7"/>
      <c r="D879" s="7"/>
    </row>
    <row r="880" ht="15.75" customHeight="1">
      <c r="A880" s="7"/>
      <c r="B880" s="7"/>
      <c r="C880" s="7"/>
      <c r="D880" s="7"/>
    </row>
    <row r="881" ht="15.75" customHeight="1">
      <c r="A881" s="7"/>
      <c r="B881" s="7"/>
      <c r="C881" s="7"/>
      <c r="D881" s="7"/>
    </row>
    <row r="882" ht="15.75" customHeight="1">
      <c r="A882" s="7"/>
      <c r="B882" s="7"/>
      <c r="C882" s="7"/>
      <c r="D882" s="7"/>
    </row>
    <row r="883" ht="15.75" customHeight="1">
      <c r="A883" s="7"/>
      <c r="B883" s="7"/>
      <c r="C883" s="7"/>
      <c r="D883" s="7"/>
    </row>
    <row r="884" ht="15.75" customHeight="1">
      <c r="A884" s="7"/>
      <c r="B884" s="7"/>
      <c r="C884" s="7"/>
      <c r="D884" s="7"/>
    </row>
    <row r="885" ht="15.75" customHeight="1">
      <c r="A885" s="7"/>
      <c r="B885" s="7"/>
      <c r="C885" s="7"/>
      <c r="D885" s="7"/>
    </row>
    <row r="886" ht="15.75" customHeight="1">
      <c r="A886" s="7"/>
      <c r="B886" s="7"/>
      <c r="C886" s="7"/>
      <c r="D886" s="7"/>
    </row>
    <row r="887" ht="15.75" customHeight="1">
      <c r="A887" s="7"/>
      <c r="B887" s="7"/>
      <c r="C887" s="7"/>
      <c r="D887" s="7"/>
    </row>
    <row r="888" ht="15.75" customHeight="1">
      <c r="A888" s="7"/>
      <c r="B888" s="7"/>
      <c r="C888" s="7"/>
      <c r="D888" s="7"/>
    </row>
    <row r="889" ht="15.75" customHeight="1">
      <c r="A889" s="7"/>
      <c r="B889" s="7"/>
      <c r="C889" s="7"/>
      <c r="D889" s="7"/>
    </row>
    <row r="890" ht="15.75" customHeight="1">
      <c r="A890" s="7"/>
      <c r="B890" s="7"/>
      <c r="C890" s="7"/>
      <c r="D890" s="7"/>
    </row>
    <row r="891" ht="15.75" customHeight="1">
      <c r="A891" s="7"/>
      <c r="B891" s="7"/>
      <c r="C891" s="7"/>
      <c r="D891" s="7"/>
    </row>
    <row r="892" ht="15.75" customHeight="1">
      <c r="A892" s="7"/>
      <c r="B892" s="7"/>
      <c r="C892" s="7"/>
      <c r="D892" s="7"/>
    </row>
    <row r="893" ht="15.75" customHeight="1">
      <c r="A893" s="7"/>
      <c r="B893" s="7"/>
      <c r="C893" s="7"/>
      <c r="D893" s="7"/>
    </row>
    <row r="894" ht="15.75" customHeight="1">
      <c r="A894" s="7"/>
      <c r="B894" s="7"/>
      <c r="C894" s="7"/>
      <c r="D894" s="7"/>
    </row>
    <row r="895" ht="15.75" customHeight="1">
      <c r="A895" s="7"/>
      <c r="B895" s="7"/>
      <c r="C895" s="7"/>
      <c r="D895" s="7"/>
    </row>
    <row r="896" ht="15.75" customHeight="1">
      <c r="A896" s="7"/>
      <c r="B896" s="7"/>
      <c r="C896" s="7"/>
      <c r="D896" s="7"/>
    </row>
    <row r="897" ht="15.75" customHeight="1">
      <c r="A897" s="7"/>
      <c r="B897" s="7"/>
      <c r="C897" s="7"/>
      <c r="D897" s="7"/>
    </row>
    <row r="898" ht="15.75" customHeight="1">
      <c r="A898" s="7"/>
      <c r="B898" s="7"/>
      <c r="C898" s="7"/>
      <c r="D898" s="7"/>
    </row>
    <row r="899" ht="15.75" customHeight="1">
      <c r="A899" s="7"/>
      <c r="B899" s="7"/>
      <c r="C899" s="7"/>
      <c r="D899" s="7"/>
    </row>
    <row r="900" ht="15.75" customHeight="1">
      <c r="A900" s="7"/>
      <c r="B900" s="7"/>
      <c r="C900" s="7"/>
      <c r="D900" s="7"/>
    </row>
    <row r="901" ht="15.75" customHeight="1">
      <c r="A901" s="7"/>
      <c r="B901" s="7"/>
      <c r="C901" s="7"/>
      <c r="D901" s="7"/>
    </row>
    <row r="902" ht="15.75" customHeight="1">
      <c r="A902" s="7"/>
      <c r="B902" s="7"/>
      <c r="C902" s="7"/>
      <c r="D902" s="7"/>
    </row>
    <row r="903" ht="15.75" customHeight="1">
      <c r="A903" s="7"/>
      <c r="B903" s="7"/>
      <c r="C903" s="7"/>
      <c r="D903" s="7"/>
    </row>
    <row r="904" ht="15.75" customHeight="1">
      <c r="A904" s="7"/>
      <c r="B904" s="7"/>
      <c r="C904" s="7"/>
      <c r="D904" s="7"/>
    </row>
    <row r="905" ht="15.75" customHeight="1">
      <c r="A905" s="7"/>
      <c r="B905" s="7"/>
      <c r="C905" s="7"/>
      <c r="D905" s="7"/>
    </row>
    <row r="906" ht="15.75" customHeight="1">
      <c r="A906" s="7"/>
      <c r="B906" s="7"/>
      <c r="C906" s="7"/>
      <c r="D906" s="7"/>
    </row>
    <row r="907" ht="15.75" customHeight="1">
      <c r="A907" s="7"/>
      <c r="B907" s="7"/>
      <c r="C907" s="7"/>
      <c r="D907" s="7"/>
    </row>
    <row r="908" ht="15.75" customHeight="1">
      <c r="A908" s="7"/>
      <c r="B908" s="7"/>
      <c r="C908" s="7"/>
      <c r="D908" s="7"/>
    </row>
    <row r="909" ht="15.75" customHeight="1">
      <c r="A909" s="7"/>
      <c r="B909" s="7"/>
      <c r="C909" s="7"/>
      <c r="D909" s="7"/>
    </row>
    <row r="910" ht="15.75" customHeight="1">
      <c r="A910" s="7"/>
      <c r="B910" s="7"/>
      <c r="C910" s="7"/>
      <c r="D910" s="7"/>
    </row>
    <row r="911" ht="15.75" customHeight="1">
      <c r="A911" s="7"/>
      <c r="B911" s="7"/>
      <c r="C911" s="7"/>
      <c r="D911" s="7"/>
    </row>
    <row r="912" ht="15.75" customHeight="1">
      <c r="A912" s="7"/>
      <c r="B912" s="7"/>
      <c r="C912" s="7"/>
      <c r="D912" s="7"/>
    </row>
    <row r="913" ht="15.75" customHeight="1">
      <c r="A913" s="7"/>
      <c r="B913" s="7"/>
      <c r="C913" s="7"/>
      <c r="D913" s="7"/>
    </row>
    <row r="914" ht="15.75" customHeight="1">
      <c r="A914" s="7"/>
      <c r="B914" s="7"/>
      <c r="C914" s="7"/>
      <c r="D914" s="7"/>
    </row>
    <row r="915" ht="15.75" customHeight="1">
      <c r="A915" s="7"/>
      <c r="B915" s="7"/>
      <c r="C915" s="7"/>
      <c r="D915" s="7"/>
    </row>
    <row r="916" ht="15.75" customHeight="1">
      <c r="A916" s="7"/>
      <c r="B916" s="7"/>
      <c r="C916" s="7"/>
      <c r="D916" s="7"/>
    </row>
    <row r="917" ht="15.75" customHeight="1">
      <c r="A917" s="7"/>
      <c r="B917" s="7"/>
      <c r="C917" s="7"/>
      <c r="D917" s="7"/>
    </row>
    <row r="918" ht="15.75" customHeight="1">
      <c r="A918" s="7"/>
      <c r="B918" s="7"/>
      <c r="C918" s="7"/>
      <c r="D918" s="7"/>
    </row>
    <row r="919" ht="15.75" customHeight="1">
      <c r="A919" s="7"/>
      <c r="B919" s="7"/>
      <c r="C919" s="7"/>
      <c r="D919" s="7"/>
    </row>
    <row r="920" ht="15.75" customHeight="1">
      <c r="A920" s="7"/>
      <c r="B920" s="7"/>
      <c r="C920" s="7"/>
      <c r="D920" s="7"/>
    </row>
    <row r="921" ht="15.75" customHeight="1">
      <c r="A921" s="7"/>
      <c r="B921" s="7"/>
      <c r="C921" s="7"/>
      <c r="D921" s="7"/>
    </row>
    <row r="922" ht="15.75" customHeight="1">
      <c r="A922" s="7"/>
      <c r="B922" s="7"/>
      <c r="C922" s="7"/>
      <c r="D922" s="7"/>
    </row>
    <row r="923" ht="15.75" customHeight="1">
      <c r="A923" s="7"/>
      <c r="B923" s="7"/>
      <c r="C923" s="7"/>
      <c r="D923" s="7"/>
    </row>
    <row r="924" ht="15.75" customHeight="1">
      <c r="A924" s="7"/>
      <c r="B924" s="7"/>
      <c r="C924" s="7"/>
      <c r="D924" s="7"/>
    </row>
    <row r="925" ht="15.75" customHeight="1">
      <c r="A925" s="7"/>
      <c r="B925" s="7"/>
      <c r="C925" s="7"/>
      <c r="D925" s="7"/>
    </row>
    <row r="926" ht="15.75" customHeight="1">
      <c r="A926" s="7"/>
      <c r="B926" s="7"/>
      <c r="C926" s="7"/>
      <c r="D926" s="7"/>
    </row>
    <row r="927" ht="15.75" customHeight="1">
      <c r="A927" s="7"/>
      <c r="B927" s="7"/>
      <c r="C927" s="7"/>
      <c r="D927" s="7"/>
    </row>
    <row r="928" ht="15.75" customHeight="1">
      <c r="A928" s="7"/>
      <c r="B928" s="7"/>
      <c r="C928" s="7"/>
      <c r="D928" s="7"/>
    </row>
    <row r="929" ht="15.75" customHeight="1">
      <c r="A929" s="7"/>
      <c r="B929" s="7"/>
      <c r="C929" s="7"/>
      <c r="D929" s="7"/>
    </row>
    <row r="930" ht="15.75" customHeight="1">
      <c r="A930" s="7"/>
      <c r="B930" s="7"/>
      <c r="C930" s="7"/>
      <c r="D930" s="7"/>
    </row>
    <row r="931" ht="15.75" customHeight="1">
      <c r="A931" s="7"/>
      <c r="B931" s="7"/>
      <c r="C931" s="7"/>
      <c r="D931" s="7"/>
    </row>
    <row r="932" ht="15.75" customHeight="1">
      <c r="A932" s="7"/>
      <c r="B932" s="7"/>
      <c r="C932" s="7"/>
      <c r="D932" s="7"/>
    </row>
    <row r="933" ht="15.75" customHeight="1">
      <c r="A933" s="7"/>
      <c r="B933" s="7"/>
      <c r="C933" s="7"/>
      <c r="D933" s="7"/>
    </row>
    <row r="934" ht="15.75" customHeight="1">
      <c r="A934" s="7"/>
      <c r="B934" s="7"/>
      <c r="C934" s="7"/>
      <c r="D934" s="7"/>
    </row>
    <row r="935" ht="15.75" customHeight="1">
      <c r="A935" s="7"/>
      <c r="B935" s="7"/>
      <c r="C935" s="7"/>
      <c r="D935" s="7"/>
    </row>
    <row r="936" ht="15.75" customHeight="1">
      <c r="A936" s="7"/>
      <c r="B936" s="7"/>
      <c r="C936" s="7"/>
      <c r="D936" s="7"/>
    </row>
    <row r="937" ht="15.75" customHeight="1">
      <c r="A937" s="7"/>
      <c r="B937" s="7"/>
      <c r="C937" s="7"/>
      <c r="D937" s="7"/>
    </row>
    <row r="938" ht="15.75" customHeight="1">
      <c r="A938" s="7"/>
      <c r="B938" s="7"/>
      <c r="C938" s="7"/>
      <c r="D938" s="7"/>
    </row>
    <row r="939" ht="15.75" customHeight="1">
      <c r="A939" s="7"/>
      <c r="B939" s="7"/>
      <c r="C939" s="7"/>
      <c r="D939" s="7"/>
    </row>
    <row r="940" ht="15.75" customHeight="1">
      <c r="A940" s="7"/>
      <c r="B940" s="7"/>
      <c r="C940" s="7"/>
      <c r="D940" s="7"/>
    </row>
    <row r="941" ht="15.75" customHeight="1">
      <c r="A941" s="7"/>
      <c r="B941" s="7"/>
      <c r="C941" s="7"/>
      <c r="D941" s="7"/>
    </row>
    <row r="942" ht="15.75" customHeight="1">
      <c r="A942" s="7"/>
      <c r="B942" s="7"/>
      <c r="C942" s="7"/>
      <c r="D942" s="7"/>
    </row>
    <row r="943" ht="15.75" customHeight="1">
      <c r="A943" s="7"/>
      <c r="B943" s="7"/>
      <c r="C943" s="7"/>
      <c r="D943" s="7"/>
    </row>
    <row r="944" ht="15.75" customHeight="1">
      <c r="A944" s="7"/>
      <c r="B944" s="7"/>
      <c r="C944" s="7"/>
      <c r="D944" s="7"/>
    </row>
    <row r="945" ht="15.75" customHeight="1">
      <c r="A945" s="7"/>
      <c r="B945" s="7"/>
      <c r="C945" s="7"/>
      <c r="D945" s="7"/>
    </row>
    <row r="946" ht="15.75" customHeight="1">
      <c r="A946" s="7"/>
      <c r="B946" s="7"/>
      <c r="C946" s="7"/>
      <c r="D946" s="7"/>
    </row>
    <row r="947" ht="15.75" customHeight="1">
      <c r="A947" s="7"/>
      <c r="B947" s="7"/>
      <c r="C947" s="7"/>
      <c r="D947" s="7"/>
    </row>
    <row r="948" ht="15.75" customHeight="1">
      <c r="A948" s="7"/>
      <c r="B948" s="7"/>
      <c r="C948" s="7"/>
      <c r="D948" s="7"/>
    </row>
    <row r="949" ht="15.75" customHeight="1">
      <c r="A949" s="7"/>
      <c r="B949" s="7"/>
      <c r="C949" s="7"/>
      <c r="D949" s="7"/>
    </row>
    <row r="950" ht="15.75" customHeight="1">
      <c r="A950" s="7"/>
      <c r="B950" s="7"/>
      <c r="C950" s="7"/>
      <c r="D950" s="7"/>
    </row>
    <row r="951" ht="15.75" customHeight="1">
      <c r="A951" s="7"/>
      <c r="B951" s="7"/>
      <c r="C951" s="7"/>
      <c r="D951" s="7"/>
    </row>
    <row r="952" ht="15.75" customHeight="1">
      <c r="A952" s="7"/>
      <c r="B952" s="7"/>
      <c r="C952" s="7"/>
      <c r="D952" s="7"/>
    </row>
    <row r="953" ht="15.75" customHeight="1">
      <c r="A953" s="7"/>
      <c r="B953" s="7"/>
      <c r="C953" s="7"/>
      <c r="D953" s="7"/>
    </row>
    <row r="954" ht="15.75" customHeight="1">
      <c r="A954" s="7"/>
      <c r="B954" s="7"/>
      <c r="C954" s="7"/>
      <c r="D954" s="7"/>
    </row>
    <row r="955" ht="15.75" customHeight="1">
      <c r="A955" s="7"/>
      <c r="B955" s="7"/>
      <c r="C955" s="7"/>
      <c r="D955" s="7"/>
    </row>
    <row r="956" ht="15.75" customHeight="1">
      <c r="A956" s="7"/>
      <c r="B956" s="7"/>
      <c r="C956" s="7"/>
      <c r="D956" s="7"/>
    </row>
    <row r="957" ht="15.75" customHeight="1">
      <c r="A957" s="7"/>
      <c r="B957" s="7"/>
      <c r="C957" s="7"/>
      <c r="D957" s="7"/>
    </row>
    <row r="958" ht="15.75" customHeight="1">
      <c r="A958" s="7"/>
      <c r="B958" s="7"/>
      <c r="C958" s="7"/>
      <c r="D958" s="7"/>
    </row>
    <row r="959" ht="15.75" customHeight="1">
      <c r="A959" s="7"/>
      <c r="B959" s="7"/>
      <c r="C959" s="7"/>
      <c r="D959" s="7"/>
    </row>
    <row r="960" ht="15.75" customHeight="1">
      <c r="A960" s="7"/>
      <c r="B960" s="7"/>
      <c r="C960" s="7"/>
      <c r="D960" s="7"/>
    </row>
    <row r="961" ht="15.75" customHeight="1">
      <c r="A961" s="7"/>
      <c r="B961" s="7"/>
      <c r="C961" s="7"/>
      <c r="D961" s="7"/>
    </row>
    <row r="962" ht="15.75" customHeight="1">
      <c r="A962" s="7"/>
      <c r="B962" s="7"/>
      <c r="C962" s="7"/>
      <c r="D962" s="7"/>
    </row>
    <row r="963" ht="15.75" customHeight="1">
      <c r="A963" s="7"/>
      <c r="B963" s="7"/>
      <c r="C963" s="7"/>
      <c r="D963" s="7"/>
    </row>
    <row r="964" ht="15.75" customHeight="1">
      <c r="A964" s="7"/>
      <c r="B964" s="7"/>
      <c r="C964" s="7"/>
      <c r="D964" s="7"/>
    </row>
    <row r="965" ht="15.75" customHeight="1">
      <c r="A965" s="7"/>
      <c r="B965" s="7"/>
      <c r="C965" s="7"/>
      <c r="D965" s="7"/>
    </row>
    <row r="966" ht="15.75" customHeight="1">
      <c r="A966" s="7"/>
      <c r="B966" s="7"/>
      <c r="C966" s="7"/>
      <c r="D966" s="7"/>
    </row>
    <row r="967" ht="15.75" customHeight="1">
      <c r="A967" s="7"/>
      <c r="B967" s="7"/>
      <c r="C967" s="7"/>
      <c r="D967" s="7"/>
    </row>
    <row r="968" ht="15.75" customHeight="1">
      <c r="A968" s="7"/>
      <c r="B968" s="7"/>
      <c r="C968" s="7"/>
      <c r="D968" s="7"/>
    </row>
    <row r="969" ht="15.75" customHeight="1">
      <c r="A969" s="7"/>
      <c r="B969" s="7"/>
      <c r="C969" s="7"/>
      <c r="D969" s="7"/>
    </row>
    <row r="970" ht="15.75" customHeight="1">
      <c r="A970" s="7"/>
      <c r="B970" s="7"/>
      <c r="C970" s="7"/>
      <c r="D970" s="7"/>
    </row>
    <row r="971" ht="15.75" customHeight="1">
      <c r="A971" s="7"/>
      <c r="B971" s="7"/>
      <c r="C971" s="7"/>
      <c r="D971" s="7"/>
    </row>
    <row r="972" ht="15.75" customHeight="1">
      <c r="A972" s="7"/>
      <c r="B972" s="7"/>
      <c r="C972" s="7"/>
      <c r="D972" s="7"/>
    </row>
    <row r="973" ht="15.75" customHeight="1">
      <c r="A973" s="7"/>
      <c r="B973" s="7"/>
      <c r="C973" s="7"/>
      <c r="D973" s="7"/>
    </row>
    <row r="974" ht="15.75" customHeight="1">
      <c r="A974" s="7"/>
      <c r="B974" s="7"/>
      <c r="C974" s="7"/>
      <c r="D974" s="7"/>
    </row>
    <row r="975" ht="15.75" customHeight="1">
      <c r="A975" s="7"/>
      <c r="B975" s="7"/>
      <c r="C975" s="7"/>
      <c r="D975" s="7"/>
    </row>
    <row r="976" ht="15.75" customHeight="1">
      <c r="A976" s="7"/>
      <c r="B976" s="7"/>
      <c r="C976" s="7"/>
      <c r="D976" s="7"/>
    </row>
    <row r="977" ht="15.75" customHeight="1">
      <c r="A977" s="7"/>
      <c r="B977" s="7"/>
      <c r="C977" s="7"/>
      <c r="D977" s="7"/>
    </row>
    <row r="978" ht="15.75" customHeight="1">
      <c r="A978" s="7"/>
      <c r="B978" s="7"/>
      <c r="C978" s="7"/>
      <c r="D978" s="7"/>
    </row>
    <row r="979" ht="15.75" customHeight="1">
      <c r="A979" s="7"/>
      <c r="B979" s="7"/>
      <c r="C979" s="7"/>
      <c r="D979" s="7"/>
    </row>
    <row r="980" ht="15.75" customHeight="1">
      <c r="A980" s="7"/>
      <c r="B980" s="7"/>
      <c r="C980" s="7"/>
      <c r="D980" s="7"/>
    </row>
    <row r="981" ht="15.75" customHeight="1">
      <c r="A981" s="7"/>
      <c r="B981" s="7"/>
      <c r="C981" s="7"/>
      <c r="D981" s="7"/>
    </row>
    <row r="982" ht="15.75" customHeight="1">
      <c r="A982" s="7"/>
      <c r="B982" s="7"/>
      <c r="C982" s="7"/>
      <c r="D982" s="7"/>
    </row>
    <row r="983" ht="15.75" customHeight="1">
      <c r="A983" s="7"/>
      <c r="B983" s="7"/>
      <c r="C983" s="7"/>
      <c r="D983" s="7"/>
    </row>
    <row r="984" ht="15.75" customHeight="1">
      <c r="A984" s="7"/>
      <c r="B984" s="7"/>
      <c r="C984" s="7"/>
      <c r="D984" s="7"/>
    </row>
    <row r="985" ht="15.75" customHeight="1">
      <c r="A985" s="7"/>
      <c r="B985" s="7"/>
      <c r="C985" s="7"/>
      <c r="D985" s="7"/>
    </row>
    <row r="986" ht="15.75" customHeight="1">
      <c r="A986" s="7"/>
      <c r="B986" s="7"/>
      <c r="C986" s="7"/>
      <c r="D986" s="7"/>
    </row>
    <row r="987" ht="15.75" customHeight="1">
      <c r="A987" s="7"/>
      <c r="B987" s="7"/>
      <c r="C987" s="7"/>
      <c r="D987" s="7"/>
    </row>
    <row r="988" ht="15.75" customHeight="1">
      <c r="A988" s="7"/>
      <c r="B988" s="7"/>
      <c r="C988" s="7"/>
      <c r="D988" s="7"/>
    </row>
    <row r="989" ht="15.75" customHeight="1">
      <c r="A989" s="7"/>
      <c r="B989" s="7"/>
      <c r="C989" s="7"/>
      <c r="D989" s="7"/>
    </row>
    <row r="990" ht="15.75" customHeight="1">
      <c r="A990" s="7"/>
      <c r="B990" s="7"/>
      <c r="C990" s="7"/>
      <c r="D990" s="7"/>
    </row>
    <row r="991" ht="15.75" customHeight="1">
      <c r="A991" s="7"/>
      <c r="B991" s="7"/>
      <c r="C991" s="7"/>
      <c r="D991" s="7"/>
    </row>
    <row r="992" ht="15.75" customHeight="1">
      <c r="A992" s="7"/>
      <c r="B992" s="7"/>
      <c r="C992" s="7"/>
      <c r="D992" s="7"/>
    </row>
    <row r="993" ht="15.75" customHeight="1">
      <c r="A993" s="7"/>
      <c r="B993" s="7"/>
      <c r="C993" s="7"/>
      <c r="D993" s="7"/>
    </row>
    <row r="994" ht="15.75" customHeight="1">
      <c r="A994" s="7"/>
      <c r="B994" s="7"/>
      <c r="C994" s="7"/>
      <c r="D994" s="7"/>
    </row>
    <row r="995" ht="15.75" customHeight="1">
      <c r="A995" s="7"/>
      <c r="B995" s="7"/>
      <c r="C995" s="7"/>
      <c r="D995" s="7"/>
    </row>
    <row r="996" ht="15.75" customHeight="1">
      <c r="A996" s="7"/>
      <c r="B996" s="7"/>
      <c r="C996" s="7"/>
      <c r="D996" s="7"/>
    </row>
    <row r="997" ht="15.75" customHeight="1">
      <c r="A997" s="7"/>
      <c r="B997" s="7"/>
      <c r="C997" s="7"/>
      <c r="D997" s="7"/>
    </row>
    <row r="998" ht="15.75" customHeight="1">
      <c r="A998" s="7"/>
      <c r="B998" s="7"/>
      <c r="C998" s="7"/>
      <c r="D998" s="7"/>
    </row>
    <row r="999" ht="15.75" customHeight="1">
      <c r="A999" s="7"/>
      <c r="B999" s="7"/>
      <c r="C999" s="7"/>
      <c r="D999" s="7"/>
    </row>
    <row r="1000" ht="15.75" customHeight="1">
      <c r="A1000" s="7"/>
      <c r="B1000" s="7"/>
      <c r="C1000" s="7"/>
      <c r="D1000" s="7"/>
    </row>
  </sheetData>
  <mergeCells count="4">
    <mergeCell ref="A1:D1"/>
    <mergeCell ref="A3:D3"/>
    <mergeCell ref="A7:D7"/>
    <mergeCell ref="A11:D1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2.0"/>
    <col customWidth="1" min="2" max="4" width="18.0"/>
    <col customWidth="1" min="5" max="5" width="50.0"/>
    <col customWidth="1" min="6" max="26" width="8.71"/>
  </cols>
  <sheetData>
    <row r="1" ht="31.5" customHeight="1">
      <c r="A1" s="8" t="s">
        <v>51</v>
      </c>
      <c r="B1" s="2"/>
      <c r="C1" s="2"/>
      <c r="D1" s="2"/>
      <c r="E1" s="3"/>
    </row>
    <row r="2" ht="37.5" customHeight="1">
      <c r="A2" s="16" t="s">
        <v>52</v>
      </c>
      <c r="B2" s="16" t="s">
        <v>53</v>
      </c>
      <c r="C2" s="16" t="s">
        <v>54</v>
      </c>
      <c r="D2" s="16" t="s">
        <v>55</v>
      </c>
      <c r="E2" s="16" t="s">
        <v>56</v>
      </c>
    </row>
    <row r="3" ht="33.75" customHeight="1">
      <c r="A3" s="17"/>
      <c r="B3" s="17" t="s">
        <v>57</v>
      </c>
      <c r="C3" s="17" t="s">
        <v>58</v>
      </c>
      <c r="D3" s="17" t="s">
        <v>59</v>
      </c>
      <c r="E3" s="17"/>
    </row>
    <row r="4" ht="21.75" customHeight="1">
      <c r="A4" s="18" t="s">
        <v>60</v>
      </c>
      <c r="B4" s="11">
        <v>0.6</v>
      </c>
      <c r="C4" s="11">
        <v>14.0</v>
      </c>
      <c r="D4" s="11">
        <v>1.2</v>
      </c>
      <c r="E4" s="19" t="s">
        <v>61</v>
      </c>
    </row>
    <row r="5" ht="21.75" customHeight="1">
      <c r="A5" s="20" t="s">
        <v>62</v>
      </c>
      <c r="B5" s="11">
        <v>0.9</v>
      </c>
      <c r="C5" s="11">
        <v>12.5</v>
      </c>
      <c r="D5" s="11">
        <v>0.8</v>
      </c>
      <c r="E5" s="21" t="s">
        <v>63</v>
      </c>
    </row>
    <row r="6" ht="21.75" customHeight="1">
      <c r="A6" s="18" t="s">
        <v>64</v>
      </c>
      <c r="B6" s="11">
        <v>0.3</v>
      </c>
      <c r="C6" s="11">
        <v>15.0</v>
      </c>
      <c r="D6" s="11">
        <v>1.0</v>
      </c>
      <c r="E6" s="19" t="s">
        <v>65</v>
      </c>
    </row>
    <row r="7">
      <c r="A7" s="7"/>
      <c r="B7" s="7"/>
      <c r="C7" s="7"/>
      <c r="D7" s="7"/>
      <c r="E7" s="7"/>
    </row>
    <row r="8" ht="19.5" customHeight="1">
      <c r="A8" s="22" t="s">
        <v>66</v>
      </c>
      <c r="B8" s="2"/>
      <c r="C8" s="2"/>
      <c r="D8" s="2"/>
      <c r="E8" s="3"/>
    </row>
    <row r="9" ht="19.5" customHeight="1">
      <c r="A9" s="23" t="s">
        <v>67</v>
      </c>
      <c r="B9" s="23" t="s">
        <v>68</v>
      </c>
      <c r="C9" s="24" t="s">
        <v>69</v>
      </c>
      <c r="D9" s="2"/>
      <c r="E9" s="3"/>
    </row>
    <row r="10" ht="24.0" customHeight="1">
      <c r="A10" s="25" t="s">
        <v>70</v>
      </c>
      <c r="B10" s="26" t="s">
        <v>71</v>
      </c>
      <c r="C10" s="27" t="s">
        <v>72</v>
      </c>
      <c r="D10" s="2"/>
      <c r="E10" s="3"/>
    </row>
    <row r="11" ht="24.0" customHeight="1">
      <c r="A11" s="28" t="s">
        <v>73</v>
      </c>
      <c r="B11" s="29" t="s">
        <v>74</v>
      </c>
      <c r="C11" s="30" t="s">
        <v>75</v>
      </c>
      <c r="D11" s="2"/>
      <c r="E11" s="3"/>
    </row>
    <row r="12" ht="24.0" customHeight="1">
      <c r="A12" s="25" t="s">
        <v>76</v>
      </c>
      <c r="B12" s="26" t="s">
        <v>77</v>
      </c>
      <c r="C12" s="27" t="s">
        <v>78</v>
      </c>
      <c r="D12" s="2"/>
      <c r="E12" s="3"/>
    </row>
    <row r="13" ht="24.0" customHeight="1">
      <c r="A13" s="28" t="s">
        <v>79</v>
      </c>
      <c r="B13" s="29" t="s">
        <v>80</v>
      </c>
      <c r="C13" s="30" t="s">
        <v>81</v>
      </c>
      <c r="D13" s="2"/>
      <c r="E13" s="3"/>
    </row>
    <row r="14" ht="24.0" customHeight="1">
      <c r="A14" s="25" t="s">
        <v>82</v>
      </c>
      <c r="B14" s="26" t="s">
        <v>83</v>
      </c>
      <c r="C14" s="27" t="s">
        <v>84</v>
      </c>
      <c r="D14" s="2"/>
      <c r="E14" s="3"/>
    </row>
    <row r="15" ht="24.0" customHeight="1">
      <c r="A15" s="28" t="s">
        <v>85</v>
      </c>
      <c r="B15" s="29" t="s">
        <v>86</v>
      </c>
      <c r="C15" s="30" t="s">
        <v>87</v>
      </c>
      <c r="D15" s="2"/>
      <c r="E15" s="3"/>
    </row>
    <row r="16">
      <c r="A16" s="7"/>
      <c r="B16" s="7"/>
      <c r="C16" s="7"/>
      <c r="D16" s="7"/>
      <c r="E16" s="7"/>
    </row>
    <row r="17">
      <c r="A17" s="7"/>
      <c r="B17" s="7"/>
      <c r="C17" s="7"/>
      <c r="D17" s="7"/>
      <c r="E17" s="7"/>
    </row>
    <row r="18">
      <c r="A18" s="7"/>
      <c r="B18" s="7"/>
      <c r="C18" s="7"/>
      <c r="D18" s="7"/>
      <c r="E18" s="7"/>
    </row>
    <row r="19">
      <c r="A19" s="7"/>
      <c r="B19" s="7"/>
      <c r="C19" s="7"/>
      <c r="D19" s="7"/>
      <c r="E19" s="7"/>
    </row>
    <row r="20">
      <c r="A20" s="7"/>
      <c r="B20" s="7"/>
      <c r="C20" s="7"/>
      <c r="D20" s="7"/>
      <c r="E20" s="7"/>
    </row>
    <row r="21" ht="15.75" customHeight="1">
      <c r="A21" s="7"/>
      <c r="B21" s="7"/>
      <c r="C21" s="7"/>
      <c r="D21" s="7"/>
      <c r="E21" s="7"/>
    </row>
    <row r="22" ht="15.75" customHeight="1">
      <c r="A22" s="7"/>
      <c r="B22" s="7"/>
      <c r="C22" s="7"/>
      <c r="D22" s="7"/>
      <c r="E22" s="7"/>
    </row>
    <row r="23" ht="15.75" customHeight="1">
      <c r="A23" s="7"/>
      <c r="B23" s="7"/>
      <c r="C23" s="7"/>
      <c r="D23" s="7"/>
      <c r="E23" s="7"/>
    </row>
    <row r="24" ht="15.75" customHeight="1">
      <c r="A24" s="7"/>
      <c r="B24" s="7"/>
      <c r="C24" s="7"/>
      <c r="D24" s="7"/>
      <c r="E24" s="7"/>
    </row>
    <row r="25" ht="15.75" customHeight="1">
      <c r="A25" s="7"/>
      <c r="B25" s="7"/>
      <c r="C25" s="7"/>
      <c r="D25" s="7"/>
      <c r="E25" s="7"/>
    </row>
    <row r="26" ht="15.75" customHeight="1">
      <c r="A26" s="7"/>
      <c r="B26" s="7"/>
      <c r="C26" s="7"/>
      <c r="D26" s="7"/>
      <c r="E26" s="7"/>
    </row>
    <row r="27" ht="15.75" customHeight="1">
      <c r="A27" s="7"/>
      <c r="B27" s="7"/>
      <c r="C27" s="7"/>
      <c r="D27" s="7"/>
      <c r="E27" s="7"/>
    </row>
    <row r="28" ht="15.75" customHeight="1">
      <c r="A28" s="7"/>
      <c r="B28" s="7"/>
      <c r="C28" s="7"/>
      <c r="D28" s="7"/>
      <c r="E28" s="7"/>
    </row>
    <row r="29" ht="15.75" customHeight="1">
      <c r="A29" s="7"/>
      <c r="B29" s="7"/>
      <c r="C29" s="7"/>
      <c r="D29" s="7"/>
      <c r="E29" s="7"/>
    </row>
    <row r="30" ht="15.75" customHeight="1">
      <c r="A30" s="7"/>
      <c r="B30" s="7"/>
      <c r="C30" s="7"/>
      <c r="D30" s="7"/>
      <c r="E30" s="7"/>
    </row>
    <row r="31" ht="15.75" customHeight="1">
      <c r="A31" s="7"/>
      <c r="B31" s="7"/>
      <c r="C31" s="7"/>
      <c r="D31" s="7"/>
      <c r="E31" s="7"/>
    </row>
    <row r="32" ht="15.75" customHeight="1">
      <c r="A32" s="7"/>
      <c r="B32" s="7"/>
      <c r="C32" s="7"/>
      <c r="D32" s="7"/>
      <c r="E32" s="7"/>
    </row>
    <row r="33" ht="15.75" customHeight="1">
      <c r="A33" s="7"/>
      <c r="B33" s="7"/>
      <c r="C33" s="7"/>
      <c r="D33" s="7"/>
      <c r="E33" s="7"/>
    </row>
    <row r="34" ht="15.75" customHeight="1">
      <c r="A34" s="7"/>
      <c r="B34" s="7"/>
      <c r="C34" s="7"/>
      <c r="D34" s="7"/>
      <c r="E34" s="7"/>
    </row>
    <row r="35" ht="15.75" customHeight="1">
      <c r="A35" s="7"/>
      <c r="B35" s="7"/>
      <c r="C35" s="7"/>
      <c r="D35" s="7"/>
      <c r="E35" s="7"/>
    </row>
    <row r="36" ht="15.75" customHeight="1">
      <c r="A36" s="7"/>
      <c r="B36" s="7"/>
      <c r="C36" s="7"/>
      <c r="D36" s="7"/>
      <c r="E36" s="7"/>
    </row>
    <row r="37" ht="15.75" customHeight="1">
      <c r="A37" s="7"/>
      <c r="B37" s="7"/>
      <c r="C37" s="7"/>
      <c r="D37" s="7"/>
      <c r="E37" s="7"/>
    </row>
    <row r="38" ht="15.75" customHeight="1">
      <c r="A38" s="7"/>
      <c r="B38" s="7"/>
      <c r="C38" s="7"/>
      <c r="D38" s="7"/>
      <c r="E38" s="7"/>
    </row>
    <row r="39" ht="15.75" customHeight="1">
      <c r="A39" s="7"/>
      <c r="B39" s="7"/>
      <c r="C39" s="7"/>
      <c r="D39" s="7"/>
      <c r="E39" s="7"/>
    </row>
    <row r="40" ht="15.75" customHeight="1">
      <c r="A40" s="7"/>
      <c r="B40" s="7"/>
      <c r="C40" s="7"/>
      <c r="D40" s="7"/>
      <c r="E40" s="7"/>
    </row>
    <row r="41" ht="15.75" customHeight="1">
      <c r="A41" s="7"/>
      <c r="B41" s="7"/>
      <c r="C41" s="7"/>
      <c r="D41" s="7"/>
      <c r="E41" s="7"/>
    </row>
    <row r="42" ht="15.75" customHeight="1">
      <c r="A42" s="7"/>
      <c r="B42" s="7"/>
      <c r="C42" s="7"/>
      <c r="D42" s="7"/>
      <c r="E42" s="7"/>
    </row>
    <row r="43" ht="15.75" customHeight="1">
      <c r="A43" s="7"/>
      <c r="B43" s="7"/>
      <c r="C43" s="7"/>
      <c r="D43" s="7"/>
      <c r="E43" s="7"/>
    </row>
    <row r="44" ht="15.75" customHeight="1">
      <c r="A44" s="7"/>
      <c r="B44" s="7"/>
      <c r="C44" s="7"/>
      <c r="D44" s="7"/>
      <c r="E44" s="7"/>
    </row>
    <row r="45" ht="15.75" customHeight="1">
      <c r="A45" s="7"/>
      <c r="B45" s="7"/>
      <c r="C45" s="7"/>
      <c r="D45" s="7"/>
      <c r="E45" s="7"/>
    </row>
    <row r="46" ht="15.75" customHeight="1">
      <c r="A46" s="7"/>
      <c r="B46" s="7"/>
      <c r="C46" s="7"/>
      <c r="D46" s="7"/>
      <c r="E46" s="7"/>
    </row>
    <row r="47" ht="15.75" customHeight="1">
      <c r="A47" s="7"/>
      <c r="B47" s="7"/>
      <c r="C47" s="7"/>
      <c r="D47" s="7"/>
      <c r="E47" s="7"/>
    </row>
    <row r="48" ht="15.75" customHeight="1">
      <c r="A48" s="7"/>
      <c r="B48" s="7"/>
      <c r="C48" s="7"/>
      <c r="D48" s="7"/>
      <c r="E48" s="7"/>
    </row>
    <row r="49" ht="15.75" customHeight="1">
      <c r="A49" s="7"/>
      <c r="B49" s="7"/>
      <c r="C49" s="7"/>
      <c r="D49" s="7"/>
      <c r="E49" s="7"/>
    </row>
    <row r="50" ht="15.75" customHeight="1">
      <c r="A50" s="7"/>
      <c r="B50" s="7"/>
      <c r="C50" s="7"/>
      <c r="D50" s="7"/>
      <c r="E50" s="7"/>
    </row>
    <row r="51" ht="15.75" customHeight="1">
      <c r="A51" s="7"/>
      <c r="B51" s="7"/>
      <c r="C51" s="7"/>
      <c r="D51" s="7"/>
      <c r="E51" s="7"/>
    </row>
    <row r="52" ht="15.75" customHeight="1">
      <c r="A52" s="7"/>
      <c r="B52" s="7"/>
      <c r="C52" s="7"/>
      <c r="D52" s="7"/>
      <c r="E52" s="7"/>
    </row>
    <row r="53" ht="15.75" customHeight="1">
      <c r="A53" s="7"/>
      <c r="B53" s="7"/>
      <c r="C53" s="7"/>
      <c r="D53" s="7"/>
      <c r="E53" s="7"/>
    </row>
    <row r="54" ht="15.75" customHeight="1">
      <c r="A54" s="7"/>
      <c r="B54" s="7"/>
      <c r="C54" s="7"/>
      <c r="D54" s="7"/>
      <c r="E54" s="7"/>
    </row>
    <row r="55" ht="15.75" customHeight="1">
      <c r="A55" s="7"/>
      <c r="B55" s="7"/>
      <c r="C55" s="7"/>
      <c r="D55" s="7"/>
      <c r="E55" s="7"/>
    </row>
    <row r="56" ht="15.75" customHeight="1">
      <c r="A56" s="7"/>
      <c r="B56" s="7"/>
      <c r="C56" s="7"/>
      <c r="D56" s="7"/>
      <c r="E56" s="7"/>
    </row>
    <row r="57" ht="15.75" customHeight="1">
      <c r="A57" s="7"/>
      <c r="B57" s="7"/>
      <c r="C57" s="7"/>
      <c r="D57" s="7"/>
      <c r="E57" s="7"/>
    </row>
    <row r="58" ht="15.75" customHeight="1">
      <c r="A58" s="7"/>
      <c r="B58" s="7"/>
      <c r="C58" s="7"/>
      <c r="D58" s="7"/>
      <c r="E58" s="7"/>
    </row>
    <row r="59" ht="15.75" customHeight="1">
      <c r="A59" s="7"/>
      <c r="B59" s="7"/>
      <c r="C59" s="7"/>
      <c r="D59" s="7"/>
      <c r="E59" s="7"/>
    </row>
    <row r="60" ht="15.75" customHeight="1">
      <c r="A60" s="7"/>
      <c r="B60" s="7"/>
      <c r="C60" s="7"/>
      <c r="D60" s="7"/>
      <c r="E60" s="7"/>
    </row>
    <row r="61" ht="15.75" customHeight="1">
      <c r="A61" s="7"/>
      <c r="B61" s="7"/>
      <c r="C61" s="7"/>
      <c r="D61" s="7"/>
      <c r="E61" s="7"/>
    </row>
    <row r="62" ht="15.75" customHeight="1">
      <c r="A62" s="7"/>
      <c r="B62" s="7"/>
      <c r="C62" s="7"/>
      <c r="D62" s="7"/>
      <c r="E62" s="7"/>
    </row>
    <row r="63" ht="15.75" customHeight="1">
      <c r="A63" s="7"/>
      <c r="B63" s="7"/>
      <c r="C63" s="7"/>
      <c r="D63" s="7"/>
      <c r="E63" s="7"/>
    </row>
    <row r="64" ht="15.75" customHeight="1">
      <c r="A64" s="7"/>
      <c r="B64" s="7"/>
      <c r="C64" s="7"/>
      <c r="D64" s="7"/>
      <c r="E64" s="7"/>
    </row>
    <row r="65" ht="15.75" customHeight="1">
      <c r="A65" s="7"/>
      <c r="B65" s="7"/>
      <c r="C65" s="7"/>
      <c r="D65" s="7"/>
      <c r="E65" s="7"/>
    </row>
    <row r="66" ht="15.75" customHeight="1">
      <c r="A66" s="7"/>
      <c r="B66" s="7"/>
      <c r="C66" s="7"/>
      <c r="D66" s="7"/>
      <c r="E66" s="7"/>
    </row>
    <row r="67" ht="15.75" customHeight="1">
      <c r="A67" s="7"/>
      <c r="B67" s="7"/>
      <c r="C67" s="7"/>
      <c r="D67" s="7"/>
      <c r="E67" s="7"/>
    </row>
    <row r="68" ht="15.75" customHeight="1">
      <c r="A68" s="7"/>
      <c r="B68" s="7"/>
      <c r="C68" s="7"/>
      <c r="D68" s="7"/>
      <c r="E68" s="7"/>
    </row>
    <row r="69" ht="15.75" customHeight="1">
      <c r="A69" s="7"/>
      <c r="B69" s="7"/>
      <c r="C69" s="7"/>
      <c r="D69" s="7"/>
      <c r="E69" s="7"/>
    </row>
    <row r="70" ht="15.75" customHeight="1">
      <c r="A70" s="7"/>
      <c r="B70" s="7"/>
      <c r="C70" s="7"/>
      <c r="D70" s="7"/>
      <c r="E70" s="7"/>
    </row>
    <row r="71" ht="15.75" customHeight="1">
      <c r="A71" s="7"/>
      <c r="B71" s="7"/>
      <c r="C71" s="7"/>
      <c r="D71" s="7"/>
      <c r="E71" s="7"/>
    </row>
    <row r="72" ht="15.75" customHeight="1">
      <c r="A72" s="7"/>
      <c r="B72" s="7"/>
      <c r="C72" s="7"/>
      <c r="D72" s="7"/>
      <c r="E72" s="7"/>
    </row>
    <row r="73" ht="15.75" customHeight="1">
      <c r="A73" s="7"/>
      <c r="B73" s="7"/>
      <c r="C73" s="7"/>
      <c r="D73" s="7"/>
      <c r="E73" s="7"/>
    </row>
    <row r="74" ht="15.75" customHeight="1">
      <c r="A74" s="7"/>
      <c r="B74" s="7"/>
      <c r="C74" s="7"/>
      <c r="D74" s="7"/>
      <c r="E74" s="7"/>
    </row>
    <row r="75" ht="15.75" customHeight="1">
      <c r="A75" s="7"/>
      <c r="B75" s="7"/>
      <c r="C75" s="7"/>
      <c r="D75" s="7"/>
      <c r="E75" s="7"/>
    </row>
    <row r="76" ht="15.75" customHeight="1">
      <c r="A76" s="7"/>
      <c r="B76" s="7"/>
      <c r="C76" s="7"/>
      <c r="D76" s="7"/>
      <c r="E76" s="7"/>
    </row>
    <row r="77" ht="15.75" customHeight="1">
      <c r="A77" s="7"/>
      <c r="B77" s="7"/>
      <c r="C77" s="7"/>
      <c r="D77" s="7"/>
      <c r="E77" s="7"/>
    </row>
    <row r="78" ht="15.75" customHeight="1">
      <c r="A78" s="7"/>
      <c r="B78" s="7"/>
      <c r="C78" s="7"/>
      <c r="D78" s="7"/>
      <c r="E78" s="7"/>
    </row>
    <row r="79" ht="15.75" customHeight="1">
      <c r="A79" s="7"/>
      <c r="B79" s="7"/>
      <c r="C79" s="7"/>
      <c r="D79" s="7"/>
      <c r="E79" s="7"/>
    </row>
    <row r="80" ht="15.75" customHeight="1">
      <c r="A80" s="7"/>
      <c r="B80" s="7"/>
      <c r="C80" s="7"/>
      <c r="D80" s="7"/>
      <c r="E80" s="7"/>
    </row>
    <row r="81" ht="15.75" customHeight="1">
      <c r="A81" s="7"/>
      <c r="B81" s="7"/>
      <c r="C81" s="7"/>
      <c r="D81" s="7"/>
      <c r="E81" s="7"/>
    </row>
    <row r="82" ht="15.75" customHeight="1">
      <c r="A82" s="7"/>
      <c r="B82" s="7"/>
      <c r="C82" s="7"/>
      <c r="D82" s="7"/>
      <c r="E82" s="7"/>
    </row>
    <row r="83" ht="15.75" customHeight="1">
      <c r="A83" s="7"/>
      <c r="B83" s="7"/>
      <c r="C83" s="7"/>
      <c r="D83" s="7"/>
      <c r="E83" s="7"/>
    </row>
    <row r="84" ht="15.75" customHeight="1">
      <c r="A84" s="7"/>
      <c r="B84" s="7"/>
      <c r="C84" s="7"/>
      <c r="D84" s="7"/>
      <c r="E84" s="7"/>
    </row>
    <row r="85" ht="15.75" customHeight="1">
      <c r="A85" s="7"/>
      <c r="B85" s="7"/>
      <c r="C85" s="7"/>
      <c r="D85" s="7"/>
      <c r="E85" s="7"/>
    </row>
    <row r="86" ht="15.75" customHeight="1">
      <c r="A86" s="7"/>
      <c r="B86" s="7"/>
      <c r="C86" s="7"/>
      <c r="D86" s="7"/>
      <c r="E86" s="7"/>
    </row>
    <row r="87" ht="15.75" customHeight="1">
      <c r="A87" s="7"/>
      <c r="B87" s="7"/>
      <c r="C87" s="7"/>
      <c r="D87" s="7"/>
      <c r="E87" s="7"/>
    </row>
    <row r="88" ht="15.75" customHeight="1">
      <c r="A88" s="7"/>
      <c r="B88" s="7"/>
      <c r="C88" s="7"/>
      <c r="D88" s="7"/>
      <c r="E88" s="7"/>
    </row>
    <row r="89" ht="15.75" customHeight="1">
      <c r="A89" s="7"/>
      <c r="B89" s="7"/>
      <c r="C89" s="7"/>
      <c r="D89" s="7"/>
      <c r="E89" s="7"/>
    </row>
    <row r="90" ht="15.75" customHeight="1">
      <c r="A90" s="7"/>
      <c r="B90" s="7"/>
      <c r="C90" s="7"/>
      <c r="D90" s="7"/>
      <c r="E90" s="7"/>
    </row>
    <row r="91" ht="15.75" customHeight="1">
      <c r="A91" s="7"/>
      <c r="B91" s="7"/>
      <c r="C91" s="7"/>
      <c r="D91" s="7"/>
      <c r="E91" s="7"/>
    </row>
    <row r="92" ht="15.75" customHeight="1">
      <c r="A92" s="7"/>
      <c r="B92" s="7"/>
      <c r="C92" s="7"/>
      <c r="D92" s="7"/>
      <c r="E92" s="7"/>
    </row>
    <row r="93" ht="15.75" customHeight="1">
      <c r="A93" s="7"/>
      <c r="B93" s="7"/>
      <c r="C93" s="7"/>
      <c r="D93" s="7"/>
      <c r="E93" s="7"/>
    </row>
    <row r="94" ht="15.75" customHeight="1">
      <c r="A94" s="7"/>
      <c r="B94" s="7"/>
      <c r="C94" s="7"/>
      <c r="D94" s="7"/>
      <c r="E94" s="7"/>
    </row>
    <row r="95" ht="15.75" customHeight="1">
      <c r="A95" s="7"/>
      <c r="B95" s="7"/>
      <c r="C95" s="7"/>
      <c r="D95" s="7"/>
      <c r="E95" s="7"/>
    </row>
    <row r="96" ht="15.75" customHeight="1">
      <c r="A96" s="7"/>
      <c r="B96" s="7"/>
      <c r="C96" s="7"/>
      <c r="D96" s="7"/>
      <c r="E96" s="7"/>
    </row>
    <row r="97" ht="15.75" customHeight="1">
      <c r="A97" s="7"/>
      <c r="B97" s="7"/>
      <c r="C97" s="7"/>
      <c r="D97" s="7"/>
      <c r="E97" s="7"/>
    </row>
    <row r="98" ht="15.75" customHeight="1">
      <c r="A98" s="7"/>
      <c r="B98" s="7"/>
      <c r="C98" s="7"/>
      <c r="D98" s="7"/>
      <c r="E98" s="7"/>
    </row>
    <row r="99" ht="15.75" customHeight="1">
      <c r="A99" s="7"/>
      <c r="B99" s="7"/>
      <c r="C99" s="7"/>
      <c r="D99" s="7"/>
      <c r="E99" s="7"/>
    </row>
    <row r="100" ht="15.75" customHeight="1">
      <c r="A100" s="7"/>
      <c r="B100" s="7"/>
      <c r="C100" s="7"/>
      <c r="D100" s="7"/>
      <c r="E100" s="7"/>
    </row>
    <row r="101" ht="15.75" customHeight="1">
      <c r="A101" s="7"/>
      <c r="B101" s="7"/>
      <c r="C101" s="7"/>
      <c r="D101" s="7"/>
      <c r="E101" s="7"/>
    </row>
    <row r="102" ht="15.75" customHeight="1">
      <c r="A102" s="7"/>
      <c r="B102" s="7"/>
      <c r="C102" s="7"/>
      <c r="D102" s="7"/>
      <c r="E102" s="7"/>
    </row>
    <row r="103" ht="15.75" customHeight="1">
      <c r="A103" s="7"/>
      <c r="B103" s="7"/>
      <c r="C103" s="7"/>
      <c r="D103" s="7"/>
      <c r="E103" s="7"/>
    </row>
    <row r="104" ht="15.75" customHeight="1">
      <c r="A104" s="7"/>
      <c r="B104" s="7"/>
      <c r="C104" s="7"/>
      <c r="D104" s="7"/>
      <c r="E104" s="7"/>
    </row>
    <row r="105" ht="15.75" customHeight="1">
      <c r="A105" s="7"/>
      <c r="B105" s="7"/>
      <c r="C105" s="7"/>
      <c r="D105" s="7"/>
      <c r="E105" s="7"/>
    </row>
    <row r="106" ht="15.75" customHeight="1">
      <c r="A106" s="7"/>
      <c r="B106" s="7"/>
      <c r="C106" s="7"/>
      <c r="D106" s="7"/>
      <c r="E106" s="7"/>
    </row>
    <row r="107" ht="15.75" customHeight="1">
      <c r="A107" s="7"/>
      <c r="B107" s="7"/>
      <c r="C107" s="7"/>
      <c r="D107" s="7"/>
      <c r="E107" s="7"/>
    </row>
    <row r="108" ht="15.75" customHeight="1">
      <c r="A108" s="7"/>
      <c r="B108" s="7"/>
      <c r="C108" s="7"/>
      <c r="D108" s="7"/>
      <c r="E108" s="7"/>
    </row>
    <row r="109" ht="15.75" customHeight="1">
      <c r="A109" s="7"/>
      <c r="B109" s="7"/>
      <c r="C109" s="7"/>
      <c r="D109" s="7"/>
      <c r="E109" s="7"/>
    </row>
    <row r="110" ht="15.75" customHeight="1">
      <c r="A110" s="7"/>
      <c r="B110" s="7"/>
      <c r="C110" s="7"/>
      <c r="D110" s="7"/>
      <c r="E110" s="7"/>
    </row>
    <row r="111" ht="15.75" customHeight="1">
      <c r="A111" s="7"/>
      <c r="B111" s="7"/>
      <c r="C111" s="7"/>
      <c r="D111" s="7"/>
      <c r="E111" s="7"/>
    </row>
    <row r="112" ht="15.75" customHeight="1">
      <c r="A112" s="7"/>
      <c r="B112" s="7"/>
      <c r="C112" s="7"/>
      <c r="D112" s="7"/>
      <c r="E112" s="7"/>
    </row>
    <row r="113" ht="15.75" customHeight="1">
      <c r="A113" s="7"/>
      <c r="B113" s="7"/>
      <c r="C113" s="7"/>
      <c r="D113" s="7"/>
      <c r="E113" s="7"/>
    </row>
    <row r="114" ht="15.75" customHeight="1">
      <c r="A114" s="7"/>
      <c r="B114" s="7"/>
      <c r="C114" s="7"/>
      <c r="D114" s="7"/>
      <c r="E114" s="7"/>
    </row>
    <row r="115" ht="15.75" customHeight="1">
      <c r="A115" s="7"/>
      <c r="B115" s="7"/>
      <c r="C115" s="7"/>
      <c r="D115" s="7"/>
      <c r="E115" s="7"/>
    </row>
    <row r="116" ht="15.75" customHeight="1">
      <c r="A116" s="7"/>
      <c r="B116" s="7"/>
      <c r="C116" s="7"/>
      <c r="D116" s="7"/>
      <c r="E116" s="7"/>
    </row>
    <row r="117" ht="15.75" customHeight="1">
      <c r="A117" s="7"/>
      <c r="B117" s="7"/>
      <c r="C117" s="7"/>
      <c r="D117" s="7"/>
      <c r="E117" s="7"/>
    </row>
    <row r="118" ht="15.75" customHeight="1">
      <c r="A118" s="7"/>
      <c r="B118" s="7"/>
      <c r="C118" s="7"/>
      <c r="D118" s="7"/>
      <c r="E118" s="7"/>
    </row>
    <row r="119" ht="15.75" customHeight="1">
      <c r="A119" s="7"/>
      <c r="B119" s="7"/>
      <c r="C119" s="7"/>
      <c r="D119" s="7"/>
      <c r="E119" s="7"/>
    </row>
    <row r="120" ht="15.75" customHeight="1">
      <c r="A120" s="7"/>
      <c r="B120" s="7"/>
      <c r="C120" s="7"/>
      <c r="D120" s="7"/>
      <c r="E120" s="7"/>
    </row>
    <row r="121" ht="15.75" customHeight="1">
      <c r="A121" s="7"/>
      <c r="B121" s="7"/>
      <c r="C121" s="7"/>
      <c r="D121" s="7"/>
      <c r="E121" s="7"/>
    </row>
    <row r="122" ht="15.75" customHeight="1">
      <c r="A122" s="7"/>
      <c r="B122" s="7"/>
      <c r="C122" s="7"/>
      <c r="D122" s="7"/>
      <c r="E122" s="7"/>
    </row>
    <row r="123" ht="15.75" customHeight="1">
      <c r="A123" s="7"/>
      <c r="B123" s="7"/>
      <c r="C123" s="7"/>
      <c r="D123" s="7"/>
      <c r="E123" s="7"/>
    </row>
    <row r="124" ht="15.75" customHeight="1">
      <c r="A124" s="7"/>
      <c r="B124" s="7"/>
      <c r="C124" s="7"/>
      <c r="D124" s="7"/>
      <c r="E124" s="7"/>
    </row>
    <row r="125" ht="15.75" customHeight="1">
      <c r="A125" s="7"/>
      <c r="B125" s="7"/>
      <c r="C125" s="7"/>
      <c r="D125" s="7"/>
      <c r="E125" s="7"/>
    </row>
    <row r="126" ht="15.75" customHeight="1">
      <c r="A126" s="7"/>
      <c r="B126" s="7"/>
      <c r="C126" s="7"/>
      <c r="D126" s="7"/>
      <c r="E126" s="7"/>
    </row>
    <row r="127" ht="15.75" customHeight="1">
      <c r="A127" s="7"/>
      <c r="B127" s="7"/>
      <c r="C127" s="7"/>
      <c r="D127" s="7"/>
      <c r="E127" s="7"/>
    </row>
    <row r="128" ht="15.75" customHeight="1">
      <c r="A128" s="7"/>
      <c r="B128" s="7"/>
      <c r="C128" s="7"/>
      <c r="D128" s="7"/>
      <c r="E128" s="7"/>
    </row>
    <row r="129" ht="15.75" customHeight="1">
      <c r="A129" s="7"/>
      <c r="B129" s="7"/>
      <c r="C129" s="7"/>
      <c r="D129" s="7"/>
      <c r="E129" s="7"/>
    </row>
    <row r="130" ht="15.75" customHeight="1">
      <c r="A130" s="7"/>
      <c r="B130" s="7"/>
      <c r="C130" s="7"/>
      <c r="D130" s="7"/>
      <c r="E130" s="7"/>
    </row>
    <row r="131" ht="15.75" customHeight="1">
      <c r="A131" s="7"/>
      <c r="B131" s="7"/>
      <c r="C131" s="7"/>
      <c r="D131" s="7"/>
      <c r="E131" s="7"/>
    </row>
    <row r="132" ht="15.75" customHeight="1">
      <c r="A132" s="7"/>
      <c r="B132" s="7"/>
      <c r="C132" s="7"/>
      <c r="D132" s="7"/>
      <c r="E132" s="7"/>
    </row>
    <row r="133" ht="15.75" customHeight="1">
      <c r="A133" s="7"/>
      <c r="B133" s="7"/>
      <c r="C133" s="7"/>
      <c r="D133" s="7"/>
      <c r="E133" s="7"/>
    </row>
    <row r="134" ht="15.75" customHeight="1">
      <c r="A134" s="7"/>
      <c r="B134" s="7"/>
      <c r="C134" s="7"/>
      <c r="D134" s="7"/>
      <c r="E134" s="7"/>
    </row>
    <row r="135" ht="15.75" customHeight="1">
      <c r="A135" s="7"/>
      <c r="B135" s="7"/>
      <c r="C135" s="7"/>
      <c r="D135" s="7"/>
      <c r="E135" s="7"/>
    </row>
    <row r="136" ht="15.75" customHeight="1">
      <c r="A136" s="7"/>
      <c r="B136" s="7"/>
      <c r="C136" s="7"/>
      <c r="D136" s="7"/>
      <c r="E136" s="7"/>
    </row>
    <row r="137" ht="15.75" customHeight="1">
      <c r="A137" s="7"/>
      <c r="B137" s="7"/>
      <c r="C137" s="7"/>
      <c r="D137" s="7"/>
      <c r="E137" s="7"/>
    </row>
    <row r="138" ht="15.75" customHeight="1">
      <c r="A138" s="7"/>
      <c r="B138" s="7"/>
      <c r="C138" s="7"/>
      <c r="D138" s="7"/>
      <c r="E138" s="7"/>
    </row>
    <row r="139" ht="15.75" customHeight="1">
      <c r="A139" s="7"/>
      <c r="B139" s="7"/>
      <c r="C139" s="7"/>
      <c r="D139" s="7"/>
      <c r="E139" s="7"/>
    </row>
    <row r="140" ht="15.75" customHeight="1">
      <c r="A140" s="7"/>
      <c r="B140" s="7"/>
      <c r="C140" s="7"/>
      <c r="D140" s="7"/>
      <c r="E140" s="7"/>
    </row>
    <row r="141" ht="15.75" customHeight="1">
      <c r="A141" s="7"/>
      <c r="B141" s="7"/>
      <c r="C141" s="7"/>
      <c r="D141" s="7"/>
      <c r="E141" s="7"/>
    </row>
    <row r="142" ht="15.75" customHeight="1">
      <c r="A142" s="7"/>
      <c r="B142" s="7"/>
      <c r="C142" s="7"/>
      <c r="D142" s="7"/>
      <c r="E142" s="7"/>
    </row>
    <row r="143" ht="15.75" customHeight="1">
      <c r="A143" s="7"/>
      <c r="B143" s="7"/>
      <c r="C143" s="7"/>
      <c r="D143" s="7"/>
      <c r="E143" s="7"/>
    </row>
    <row r="144" ht="15.75" customHeight="1">
      <c r="A144" s="7"/>
      <c r="B144" s="7"/>
      <c r="C144" s="7"/>
      <c r="D144" s="7"/>
      <c r="E144" s="7"/>
    </row>
    <row r="145" ht="15.75" customHeight="1">
      <c r="A145" s="7"/>
      <c r="B145" s="7"/>
      <c r="C145" s="7"/>
      <c r="D145" s="7"/>
      <c r="E145" s="7"/>
    </row>
    <row r="146" ht="15.75" customHeight="1">
      <c r="A146" s="7"/>
      <c r="B146" s="7"/>
      <c r="C146" s="7"/>
      <c r="D146" s="7"/>
      <c r="E146" s="7"/>
    </row>
    <row r="147" ht="15.75" customHeight="1">
      <c r="A147" s="7"/>
      <c r="B147" s="7"/>
      <c r="C147" s="7"/>
      <c r="D147" s="7"/>
      <c r="E147" s="7"/>
    </row>
    <row r="148" ht="15.75" customHeight="1">
      <c r="A148" s="7"/>
      <c r="B148" s="7"/>
      <c r="C148" s="7"/>
      <c r="D148" s="7"/>
      <c r="E148" s="7"/>
    </row>
    <row r="149" ht="15.75" customHeight="1">
      <c r="A149" s="7"/>
      <c r="B149" s="7"/>
      <c r="C149" s="7"/>
      <c r="D149" s="7"/>
      <c r="E149" s="7"/>
    </row>
    <row r="150" ht="15.75" customHeight="1">
      <c r="A150" s="7"/>
      <c r="B150" s="7"/>
      <c r="C150" s="7"/>
      <c r="D150" s="7"/>
      <c r="E150" s="7"/>
    </row>
    <row r="151" ht="15.75" customHeight="1">
      <c r="A151" s="7"/>
      <c r="B151" s="7"/>
      <c r="C151" s="7"/>
      <c r="D151" s="7"/>
      <c r="E151" s="7"/>
    </row>
    <row r="152" ht="15.75" customHeight="1">
      <c r="A152" s="7"/>
      <c r="B152" s="7"/>
      <c r="C152" s="7"/>
      <c r="D152" s="7"/>
      <c r="E152" s="7"/>
    </row>
    <row r="153" ht="15.75" customHeight="1">
      <c r="A153" s="7"/>
      <c r="B153" s="7"/>
      <c r="C153" s="7"/>
      <c r="D153" s="7"/>
      <c r="E153" s="7"/>
    </row>
    <row r="154" ht="15.75" customHeight="1">
      <c r="A154" s="7"/>
      <c r="B154" s="7"/>
      <c r="C154" s="7"/>
      <c r="D154" s="7"/>
      <c r="E154" s="7"/>
    </row>
    <row r="155" ht="15.75" customHeight="1">
      <c r="A155" s="7"/>
      <c r="B155" s="7"/>
      <c r="C155" s="7"/>
      <c r="D155" s="7"/>
      <c r="E155" s="7"/>
    </row>
    <row r="156" ht="15.75" customHeight="1">
      <c r="A156" s="7"/>
      <c r="B156" s="7"/>
      <c r="C156" s="7"/>
      <c r="D156" s="7"/>
      <c r="E156" s="7"/>
    </row>
    <row r="157" ht="15.75" customHeight="1">
      <c r="A157" s="7"/>
      <c r="B157" s="7"/>
      <c r="C157" s="7"/>
      <c r="D157" s="7"/>
      <c r="E157" s="7"/>
    </row>
    <row r="158" ht="15.75" customHeight="1">
      <c r="A158" s="7"/>
      <c r="B158" s="7"/>
      <c r="C158" s="7"/>
      <c r="D158" s="7"/>
      <c r="E158" s="7"/>
    </row>
    <row r="159" ht="15.75" customHeight="1">
      <c r="A159" s="7"/>
      <c r="B159" s="7"/>
      <c r="C159" s="7"/>
      <c r="D159" s="7"/>
      <c r="E159" s="7"/>
    </row>
    <row r="160" ht="15.75" customHeight="1">
      <c r="A160" s="7"/>
      <c r="B160" s="7"/>
      <c r="C160" s="7"/>
      <c r="D160" s="7"/>
      <c r="E160" s="7"/>
    </row>
    <row r="161" ht="15.75" customHeight="1">
      <c r="A161" s="7"/>
      <c r="B161" s="7"/>
      <c r="C161" s="7"/>
      <c r="D161" s="7"/>
      <c r="E161" s="7"/>
    </row>
    <row r="162" ht="15.75" customHeight="1">
      <c r="A162" s="7"/>
      <c r="B162" s="7"/>
      <c r="C162" s="7"/>
      <c r="D162" s="7"/>
      <c r="E162" s="7"/>
    </row>
    <row r="163" ht="15.75" customHeight="1">
      <c r="A163" s="7"/>
      <c r="B163" s="7"/>
      <c r="C163" s="7"/>
      <c r="D163" s="7"/>
      <c r="E163" s="7"/>
    </row>
    <row r="164" ht="15.75" customHeight="1">
      <c r="A164" s="7"/>
      <c r="B164" s="7"/>
      <c r="C164" s="7"/>
      <c r="D164" s="7"/>
      <c r="E164" s="7"/>
    </row>
    <row r="165" ht="15.75" customHeight="1">
      <c r="A165" s="7"/>
      <c r="B165" s="7"/>
      <c r="C165" s="7"/>
      <c r="D165" s="7"/>
      <c r="E165" s="7"/>
    </row>
    <row r="166" ht="15.75" customHeight="1">
      <c r="A166" s="7"/>
      <c r="B166" s="7"/>
      <c r="C166" s="7"/>
      <c r="D166" s="7"/>
      <c r="E166" s="7"/>
    </row>
    <row r="167" ht="15.75" customHeight="1">
      <c r="A167" s="7"/>
      <c r="B167" s="7"/>
      <c r="C167" s="7"/>
      <c r="D167" s="7"/>
      <c r="E167" s="7"/>
    </row>
    <row r="168" ht="15.75" customHeight="1">
      <c r="A168" s="7"/>
      <c r="B168" s="7"/>
      <c r="C168" s="7"/>
      <c r="D168" s="7"/>
      <c r="E168" s="7"/>
    </row>
    <row r="169" ht="15.75" customHeight="1">
      <c r="A169" s="7"/>
      <c r="B169" s="7"/>
      <c r="C169" s="7"/>
      <c r="D169" s="7"/>
      <c r="E169" s="7"/>
    </row>
    <row r="170" ht="15.75" customHeight="1">
      <c r="A170" s="7"/>
      <c r="B170" s="7"/>
      <c r="C170" s="7"/>
      <c r="D170" s="7"/>
      <c r="E170" s="7"/>
    </row>
    <row r="171" ht="15.75" customHeight="1">
      <c r="A171" s="7"/>
      <c r="B171" s="7"/>
      <c r="C171" s="7"/>
      <c r="D171" s="7"/>
      <c r="E171" s="7"/>
    </row>
    <row r="172" ht="15.75" customHeight="1">
      <c r="A172" s="7"/>
      <c r="B172" s="7"/>
      <c r="C172" s="7"/>
      <c r="D172" s="7"/>
      <c r="E172" s="7"/>
    </row>
    <row r="173" ht="15.75" customHeight="1">
      <c r="A173" s="7"/>
      <c r="B173" s="7"/>
      <c r="C173" s="7"/>
      <c r="D173" s="7"/>
      <c r="E173" s="7"/>
    </row>
    <row r="174" ht="15.75" customHeight="1">
      <c r="A174" s="7"/>
      <c r="B174" s="7"/>
      <c r="C174" s="7"/>
      <c r="D174" s="7"/>
      <c r="E174" s="7"/>
    </row>
    <row r="175" ht="15.75" customHeight="1">
      <c r="A175" s="7"/>
      <c r="B175" s="7"/>
      <c r="C175" s="7"/>
      <c r="D175" s="7"/>
      <c r="E175" s="7"/>
    </row>
    <row r="176" ht="15.75" customHeight="1">
      <c r="A176" s="7"/>
      <c r="B176" s="7"/>
      <c r="C176" s="7"/>
      <c r="D176" s="7"/>
      <c r="E176" s="7"/>
    </row>
    <row r="177" ht="15.75" customHeight="1">
      <c r="A177" s="7"/>
      <c r="B177" s="7"/>
      <c r="C177" s="7"/>
      <c r="D177" s="7"/>
      <c r="E177" s="7"/>
    </row>
    <row r="178" ht="15.75" customHeight="1">
      <c r="A178" s="7"/>
      <c r="B178" s="7"/>
      <c r="C178" s="7"/>
      <c r="D178" s="7"/>
      <c r="E178" s="7"/>
    </row>
    <row r="179" ht="15.75" customHeight="1">
      <c r="A179" s="7"/>
      <c r="B179" s="7"/>
      <c r="C179" s="7"/>
      <c r="D179" s="7"/>
      <c r="E179" s="7"/>
    </row>
    <row r="180" ht="15.75" customHeight="1">
      <c r="A180" s="7"/>
      <c r="B180" s="7"/>
      <c r="C180" s="7"/>
      <c r="D180" s="7"/>
      <c r="E180" s="7"/>
    </row>
    <row r="181" ht="15.75" customHeight="1">
      <c r="A181" s="7"/>
      <c r="B181" s="7"/>
      <c r="C181" s="7"/>
      <c r="D181" s="7"/>
      <c r="E181" s="7"/>
    </row>
    <row r="182" ht="15.75" customHeight="1">
      <c r="A182" s="7"/>
      <c r="B182" s="7"/>
      <c r="C182" s="7"/>
      <c r="D182" s="7"/>
      <c r="E182" s="7"/>
    </row>
    <row r="183" ht="15.75" customHeight="1">
      <c r="A183" s="7"/>
      <c r="B183" s="7"/>
      <c r="C183" s="7"/>
      <c r="D183" s="7"/>
      <c r="E183" s="7"/>
    </row>
    <row r="184" ht="15.75" customHeight="1">
      <c r="A184" s="7"/>
      <c r="B184" s="7"/>
      <c r="C184" s="7"/>
      <c r="D184" s="7"/>
      <c r="E184" s="7"/>
    </row>
    <row r="185" ht="15.75" customHeight="1">
      <c r="A185" s="7"/>
      <c r="B185" s="7"/>
      <c r="C185" s="7"/>
      <c r="D185" s="7"/>
      <c r="E185" s="7"/>
    </row>
    <row r="186" ht="15.75" customHeight="1">
      <c r="A186" s="7"/>
      <c r="B186" s="7"/>
      <c r="C186" s="7"/>
      <c r="D186" s="7"/>
      <c r="E186" s="7"/>
    </row>
    <row r="187" ht="15.75" customHeight="1">
      <c r="A187" s="7"/>
      <c r="B187" s="7"/>
      <c r="C187" s="7"/>
      <c r="D187" s="7"/>
      <c r="E187" s="7"/>
    </row>
    <row r="188" ht="15.75" customHeight="1">
      <c r="A188" s="7"/>
      <c r="B188" s="7"/>
      <c r="C188" s="7"/>
      <c r="D188" s="7"/>
      <c r="E188" s="7"/>
    </row>
    <row r="189" ht="15.75" customHeight="1">
      <c r="A189" s="7"/>
      <c r="B189" s="7"/>
      <c r="C189" s="7"/>
      <c r="D189" s="7"/>
      <c r="E189" s="7"/>
    </row>
    <row r="190" ht="15.75" customHeight="1">
      <c r="A190" s="7"/>
      <c r="B190" s="7"/>
      <c r="C190" s="7"/>
      <c r="D190" s="7"/>
      <c r="E190" s="7"/>
    </row>
    <row r="191" ht="15.75" customHeight="1">
      <c r="A191" s="7"/>
      <c r="B191" s="7"/>
      <c r="C191" s="7"/>
      <c r="D191" s="7"/>
      <c r="E191" s="7"/>
    </row>
    <row r="192" ht="15.75" customHeight="1">
      <c r="A192" s="7"/>
      <c r="B192" s="7"/>
      <c r="C192" s="7"/>
      <c r="D192" s="7"/>
      <c r="E192" s="7"/>
    </row>
    <row r="193" ht="15.75" customHeight="1">
      <c r="A193" s="7"/>
      <c r="B193" s="7"/>
      <c r="C193" s="7"/>
      <c r="D193" s="7"/>
      <c r="E193" s="7"/>
    </row>
    <row r="194" ht="15.75" customHeight="1">
      <c r="A194" s="7"/>
      <c r="B194" s="7"/>
      <c r="C194" s="7"/>
      <c r="D194" s="7"/>
      <c r="E194" s="7"/>
    </row>
    <row r="195" ht="15.75" customHeight="1">
      <c r="A195" s="7"/>
      <c r="B195" s="7"/>
      <c r="C195" s="7"/>
      <c r="D195" s="7"/>
      <c r="E195" s="7"/>
    </row>
    <row r="196" ht="15.75" customHeight="1">
      <c r="A196" s="7"/>
      <c r="B196" s="7"/>
      <c r="C196" s="7"/>
      <c r="D196" s="7"/>
      <c r="E196" s="7"/>
    </row>
    <row r="197" ht="15.75" customHeight="1">
      <c r="A197" s="7"/>
      <c r="B197" s="7"/>
      <c r="C197" s="7"/>
      <c r="D197" s="7"/>
      <c r="E197" s="7"/>
    </row>
    <row r="198" ht="15.75" customHeight="1">
      <c r="A198" s="7"/>
      <c r="B198" s="7"/>
      <c r="C198" s="7"/>
      <c r="D198" s="7"/>
      <c r="E198" s="7"/>
    </row>
    <row r="199" ht="15.75" customHeight="1">
      <c r="A199" s="7"/>
      <c r="B199" s="7"/>
      <c r="C199" s="7"/>
      <c r="D199" s="7"/>
      <c r="E199" s="7"/>
    </row>
    <row r="200" ht="15.75" customHeight="1">
      <c r="A200" s="7"/>
      <c r="B200" s="7"/>
      <c r="C200" s="7"/>
      <c r="D200" s="7"/>
      <c r="E200" s="7"/>
    </row>
    <row r="201" ht="15.75" customHeight="1">
      <c r="A201" s="7"/>
      <c r="B201" s="7"/>
      <c r="C201" s="7"/>
      <c r="D201" s="7"/>
      <c r="E201" s="7"/>
    </row>
    <row r="202" ht="15.75" customHeight="1">
      <c r="A202" s="7"/>
      <c r="B202" s="7"/>
      <c r="C202" s="7"/>
      <c r="D202" s="7"/>
      <c r="E202" s="7"/>
    </row>
    <row r="203" ht="15.75" customHeight="1">
      <c r="A203" s="7"/>
      <c r="B203" s="7"/>
      <c r="C203" s="7"/>
      <c r="D203" s="7"/>
      <c r="E203" s="7"/>
    </row>
    <row r="204" ht="15.75" customHeight="1">
      <c r="A204" s="7"/>
      <c r="B204" s="7"/>
      <c r="C204" s="7"/>
      <c r="D204" s="7"/>
      <c r="E204" s="7"/>
    </row>
    <row r="205" ht="15.75" customHeight="1">
      <c r="A205" s="7"/>
      <c r="B205" s="7"/>
      <c r="C205" s="7"/>
      <c r="D205" s="7"/>
      <c r="E205" s="7"/>
    </row>
    <row r="206" ht="15.75" customHeight="1">
      <c r="A206" s="7"/>
      <c r="B206" s="7"/>
      <c r="C206" s="7"/>
      <c r="D206" s="7"/>
      <c r="E206" s="7"/>
    </row>
    <row r="207" ht="15.75" customHeight="1">
      <c r="A207" s="7"/>
      <c r="B207" s="7"/>
      <c r="C207" s="7"/>
      <c r="D207" s="7"/>
      <c r="E207" s="7"/>
    </row>
    <row r="208" ht="15.75" customHeight="1">
      <c r="A208" s="7"/>
      <c r="B208" s="7"/>
      <c r="C208" s="7"/>
      <c r="D208" s="7"/>
      <c r="E208" s="7"/>
    </row>
    <row r="209" ht="15.75" customHeight="1">
      <c r="A209" s="7"/>
      <c r="B209" s="7"/>
      <c r="C209" s="7"/>
      <c r="D209" s="7"/>
      <c r="E209" s="7"/>
    </row>
    <row r="210" ht="15.75" customHeight="1">
      <c r="A210" s="7"/>
      <c r="B210" s="7"/>
      <c r="C210" s="7"/>
      <c r="D210" s="7"/>
      <c r="E210" s="7"/>
    </row>
    <row r="211" ht="15.75" customHeight="1">
      <c r="A211" s="7"/>
      <c r="B211" s="7"/>
      <c r="C211" s="7"/>
      <c r="D211" s="7"/>
      <c r="E211" s="7"/>
    </row>
    <row r="212" ht="15.75" customHeight="1">
      <c r="A212" s="7"/>
      <c r="B212" s="7"/>
      <c r="C212" s="7"/>
      <c r="D212" s="7"/>
      <c r="E212" s="7"/>
    </row>
    <row r="213" ht="15.75" customHeight="1">
      <c r="A213" s="7"/>
      <c r="B213" s="7"/>
      <c r="C213" s="7"/>
      <c r="D213" s="7"/>
      <c r="E213" s="7"/>
    </row>
    <row r="214" ht="15.75" customHeight="1">
      <c r="A214" s="7"/>
      <c r="B214" s="7"/>
      <c r="C214" s="7"/>
      <c r="D214" s="7"/>
      <c r="E214" s="7"/>
    </row>
    <row r="215" ht="15.75" customHeight="1">
      <c r="A215" s="7"/>
      <c r="B215" s="7"/>
      <c r="C215" s="7"/>
      <c r="D215" s="7"/>
      <c r="E215" s="7"/>
    </row>
    <row r="216" ht="15.75" customHeight="1">
      <c r="A216" s="7"/>
      <c r="B216" s="7"/>
      <c r="C216" s="7"/>
      <c r="D216" s="7"/>
      <c r="E216" s="7"/>
    </row>
    <row r="217" ht="15.75" customHeight="1">
      <c r="A217" s="7"/>
      <c r="B217" s="7"/>
      <c r="C217" s="7"/>
      <c r="D217" s="7"/>
      <c r="E217" s="7"/>
    </row>
    <row r="218" ht="15.75" customHeight="1">
      <c r="A218" s="7"/>
      <c r="B218" s="7"/>
      <c r="C218" s="7"/>
      <c r="D218" s="7"/>
      <c r="E218" s="7"/>
    </row>
    <row r="219" ht="15.75" customHeight="1">
      <c r="A219" s="7"/>
      <c r="B219" s="7"/>
      <c r="C219" s="7"/>
      <c r="D219" s="7"/>
      <c r="E219" s="7"/>
    </row>
    <row r="220" ht="15.75" customHeight="1">
      <c r="A220" s="7"/>
      <c r="B220" s="7"/>
      <c r="C220" s="7"/>
      <c r="D220" s="7"/>
      <c r="E220" s="7"/>
    </row>
    <row r="221" ht="15.75" customHeight="1">
      <c r="A221" s="7"/>
      <c r="B221" s="7"/>
      <c r="C221" s="7"/>
      <c r="D221" s="7"/>
      <c r="E221" s="7"/>
    </row>
    <row r="222" ht="15.75" customHeight="1">
      <c r="A222" s="7"/>
      <c r="B222" s="7"/>
      <c r="C222" s="7"/>
      <c r="D222" s="7"/>
      <c r="E222" s="7"/>
    </row>
    <row r="223" ht="15.75" customHeight="1">
      <c r="A223" s="7"/>
      <c r="B223" s="7"/>
      <c r="C223" s="7"/>
      <c r="D223" s="7"/>
      <c r="E223" s="7"/>
    </row>
    <row r="224" ht="15.75" customHeight="1">
      <c r="A224" s="7"/>
      <c r="B224" s="7"/>
      <c r="C224" s="7"/>
      <c r="D224" s="7"/>
      <c r="E224" s="7"/>
    </row>
    <row r="225" ht="15.75" customHeight="1">
      <c r="A225" s="7"/>
      <c r="B225" s="7"/>
      <c r="C225" s="7"/>
      <c r="D225" s="7"/>
      <c r="E225" s="7"/>
    </row>
    <row r="226" ht="15.75" customHeight="1">
      <c r="A226" s="7"/>
      <c r="B226" s="7"/>
      <c r="C226" s="7"/>
      <c r="D226" s="7"/>
      <c r="E226" s="7"/>
    </row>
    <row r="227" ht="15.75" customHeight="1">
      <c r="A227" s="7"/>
      <c r="B227" s="7"/>
      <c r="C227" s="7"/>
      <c r="D227" s="7"/>
      <c r="E227" s="7"/>
    </row>
    <row r="228" ht="15.75" customHeight="1">
      <c r="A228" s="7"/>
      <c r="B228" s="7"/>
      <c r="C228" s="7"/>
      <c r="D228" s="7"/>
      <c r="E228" s="7"/>
    </row>
    <row r="229" ht="15.75" customHeight="1">
      <c r="A229" s="7"/>
      <c r="B229" s="7"/>
      <c r="C229" s="7"/>
      <c r="D229" s="7"/>
      <c r="E229" s="7"/>
    </row>
    <row r="230" ht="15.75" customHeight="1">
      <c r="A230" s="7"/>
      <c r="B230" s="7"/>
      <c r="C230" s="7"/>
      <c r="D230" s="7"/>
      <c r="E230" s="7"/>
    </row>
    <row r="231" ht="15.75" customHeight="1">
      <c r="A231" s="7"/>
      <c r="B231" s="7"/>
      <c r="C231" s="7"/>
      <c r="D231" s="7"/>
      <c r="E231" s="7"/>
    </row>
    <row r="232" ht="15.75" customHeight="1">
      <c r="A232" s="7"/>
      <c r="B232" s="7"/>
      <c r="C232" s="7"/>
      <c r="D232" s="7"/>
      <c r="E232" s="7"/>
    </row>
    <row r="233" ht="15.75" customHeight="1">
      <c r="A233" s="7"/>
      <c r="B233" s="7"/>
      <c r="C233" s="7"/>
      <c r="D233" s="7"/>
      <c r="E233" s="7"/>
    </row>
    <row r="234" ht="15.75" customHeight="1">
      <c r="A234" s="7"/>
      <c r="B234" s="7"/>
      <c r="C234" s="7"/>
      <c r="D234" s="7"/>
      <c r="E234" s="7"/>
    </row>
    <row r="235" ht="15.75" customHeight="1">
      <c r="A235" s="7"/>
      <c r="B235" s="7"/>
      <c r="C235" s="7"/>
      <c r="D235" s="7"/>
      <c r="E235" s="7"/>
    </row>
    <row r="236" ht="15.75" customHeight="1">
      <c r="A236" s="7"/>
      <c r="B236" s="7"/>
      <c r="C236" s="7"/>
      <c r="D236" s="7"/>
      <c r="E236" s="7"/>
    </row>
    <row r="237" ht="15.75" customHeight="1">
      <c r="A237" s="7"/>
      <c r="B237" s="7"/>
      <c r="C237" s="7"/>
      <c r="D237" s="7"/>
      <c r="E237" s="7"/>
    </row>
    <row r="238" ht="15.75" customHeight="1">
      <c r="A238" s="7"/>
      <c r="B238" s="7"/>
      <c r="C238" s="7"/>
      <c r="D238" s="7"/>
      <c r="E238" s="7"/>
    </row>
    <row r="239" ht="15.75" customHeight="1">
      <c r="A239" s="7"/>
      <c r="B239" s="7"/>
      <c r="C239" s="7"/>
      <c r="D239" s="7"/>
      <c r="E239" s="7"/>
    </row>
    <row r="240" ht="15.75" customHeight="1">
      <c r="A240" s="7"/>
      <c r="B240" s="7"/>
      <c r="C240" s="7"/>
      <c r="D240" s="7"/>
      <c r="E240" s="7"/>
    </row>
    <row r="241" ht="15.75" customHeight="1">
      <c r="A241" s="7"/>
      <c r="B241" s="7"/>
      <c r="C241" s="7"/>
      <c r="D241" s="7"/>
      <c r="E241" s="7"/>
    </row>
    <row r="242" ht="15.75" customHeight="1">
      <c r="A242" s="7"/>
      <c r="B242" s="7"/>
      <c r="C242" s="7"/>
      <c r="D242" s="7"/>
      <c r="E242" s="7"/>
    </row>
    <row r="243" ht="15.75" customHeight="1">
      <c r="A243" s="7"/>
      <c r="B243" s="7"/>
      <c r="C243" s="7"/>
      <c r="D243" s="7"/>
      <c r="E243" s="7"/>
    </row>
    <row r="244" ht="15.75" customHeight="1">
      <c r="A244" s="7"/>
      <c r="B244" s="7"/>
      <c r="C244" s="7"/>
      <c r="D244" s="7"/>
      <c r="E244" s="7"/>
    </row>
    <row r="245" ht="15.75" customHeight="1">
      <c r="A245" s="7"/>
      <c r="B245" s="7"/>
      <c r="C245" s="7"/>
      <c r="D245" s="7"/>
      <c r="E245" s="7"/>
    </row>
    <row r="246" ht="15.75" customHeight="1">
      <c r="A246" s="7"/>
      <c r="B246" s="7"/>
      <c r="C246" s="7"/>
      <c r="D246" s="7"/>
      <c r="E246" s="7"/>
    </row>
    <row r="247" ht="15.75" customHeight="1">
      <c r="A247" s="7"/>
      <c r="B247" s="7"/>
      <c r="C247" s="7"/>
      <c r="D247" s="7"/>
      <c r="E247" s="7"/>
    </row>
    <row r="248" ht="15.75" customHeight="1">
      <c r="A248" s="7"/>
      <c r="B248" s="7"/>
      <c r="C248" s="7"/>
      <c r="D248" s="7"/>
      <c r="E248" s="7"/>
    </row>
    <row r="249" ht="15.75" customHeight="1">
      <c r="A249" s="7"/>
      <c r="B249" s="7"/>
      <c r="C249" s="7"/>
      <c r="D249" s="7"/>
      <c r="E249" s="7"/>
    </row>
    <row r="250" ht="15.75" customHeight="1">
      <c r="A250" s="7"/>
      <c r="B250" s="7"/>
      <c r="C250" s="7"/>
      <c r="D250" s="7"/>
      <c r="E250" s="7"/>
    </row>
    <row r="251" ht="15.75" customHeight="1">
      <c r="A251" s="7"/>
      <c r="B251" s="7"/>
      <c r="C251" s="7"/>
      <c r="D251" s="7"/>
      <c r="E251" s="7"/>
    </row>
    <row r="252" ht="15.75" customHeight="1">
      <c r="A252" s="7"/>
      <c r="B252" s="7"/>
      <c r="C252" s="7"/>
      <c r="D252" s="7"/>
      <c r="E252" s="7"/>
    </row>
    <row r="253" ht="15.75" customHeight="1">
      <c r="A253" s="7"/>
      <c r="B253" s="7"/>
      <c r="C253" s="7"/>
      <c r="D253" s="7"/>
      <c r="E253" s="7"/>
    </row>
    <row r="254" ht="15.75" customHeight="1">
      <c r="A254" s="7"/>
      <c r="B254" s="7"/>
      <c r="C254" s="7"/>
      <c r="D254" s="7"/>
      <c r="E254" s="7"/>
    </row>
    <row r="255" ht="15.75" customHeight="1">
      <c r="A255" s="7"/>
      <c r="B255" s="7"/>
      <c r="C255" s="7"/>
      <c r="D255" s="7"/>
      <c r="E255" s="7"/>
    </row>
    <row r="256" ht="15.75" customHeight="1">
      <c r="A256" s="7"/>
      <c r="B256" s="7"/>
      <c r="C256" s="7"/>
      <c r="D256" s="7"/>
      <c r="E256" s="7"/>
    </row>
    <row r="257" ht="15.75" customHeight="1">
      <c r="A257" s="7"/>
      <c r="B257" s="7"/>
      <c r="C257" s="7"/>
      <c r="D257" s="7"/>
      <c r="E257" s="7"/>
    </row>
    <row r="258" ht="15.75" customHeight="1">
      <c r="A258" s="7"/>
      <c r="B258" s="7"/>
      <c r="C258" s="7"/>
      <c r="D258" s="7"/>
      <c r="E258" s="7"/>
    </row>
    <row r="259" ht="15.75" customHeight="1">
      <c r="A259" s="7"/>
      <c r="B259" s="7"/>
      <c r="C259" s="7"/>
      <c r="D259" s="7"/>
      <c r="E259" s="7"/>
    </row>
    <row r="260" ht="15.75" customHeight="1">
      <c r="A260" s="7"/>
      <c r="B260" s="7"/>
      <c r="C260" s="7"/>
      <c r="D260" s="7"/>
      <c r="E260" s="7"/>
    </row>
    <row r="261" ht="15.75" customHeight="1">
      <c r="A261" s="7"/>
      <c r="B261" s="7"/>
      <c r="C261" s="7"/>
      <c r="D261" s="7"/>
      <c r="E261" s="7"/>
    </row>
    <row r="262" ht="15.75" customHeight="1">
      <c r="A262" s="7"/>
      <c r="B262" s="7"/>
      <c r="C262" s="7"/>
      <c r="D262" s="7"/>
      <c r="E262" s="7"/>
    </row>
    <row r="263" ht="15.75" customHeight="1">
      <c r="A263" s="7"/>
      <c r="B263" s="7"/>
      <c r="C263" s="7"/>
      <c r="D263" s="7"/>
      <c r="E263" s="7"/>
    </row>
    <row r="264" ht="15.75" customHeight="1">
      <c r="A264" s="7"/>
      <c r="B264" s="7"/>
      <c r="C264" s="7"/>
      <c r="D264" s="7"/>
      <c r="E264" s="7"/>
    </row>
    <row r="265" ht="15.75" customHeight="1">
      <c r="A265" s="7"/>
      <c r="B265" s="7"/>
      <c r="C265" s="7"/>
      <c r="D265" s="7"/>
      <c r="E265" s="7"/>
    </row>
    <row r="266" ht="15.75" customHeight="1">
      <c r="A266" s="7"/>
      <c r="B266" s="7"/>
      <c r="C266" s="7"/>
      <c r="D266" s="7"/>
      <c r="E266" s="7"/>
    </row>
    <row r="267" ht="15.75" customHeight="1">
      <c r="A267" s="7"/>
      <c r="B267" s="7"/>
      <c r="C267" s="7"/>
      <c r="D267" s="7"/>
      <c r="E267" s="7"/>
    </row>
    <row r="268" ht="15.75" customHeight="1">
      <c r="A268" s="7"/>
      <c r="B268" s="7"/>
      <c r="C268" s="7"/>
      <c r="D268" s="7"/>
      <c r="E268" s="7"/>
    </row>
    <row r="269" ht="15.75" customHeight="1">
      <c r="A269" s="7"/>
      <c r="B269" s="7"/>
      <c r="C269" s="7"/>
      <c r="D269" s="7"/>
      <c r="E269" s="7"/>
    </row>
    <row r="270" ht="15.75" customHeight="1">
      <c r="A270" s="7"/>
      <c r="B270" s="7"/>
      <c r="C270" s="7"/>
      <c r="D270" s="7"/>
      <c r="E270" s="7"/>
    </row>
    <row r="271" ht="15.75" customHeight="1">
      <c r="A271" s="7"/>
      <c r="B271" s="7"/>
      <c r="C271" s="7"/>
      <c r="D271" s="7"/>
      <c r="E271" s="7"/>
    </row>
    <row r="272" ht="15.75" customHeight="1">
      <c r="A272" s="7"/>
      <c r="B272" s="7"/>
      <c r="C272" s="7"/>
      <c r="D272" s="7"/>
      <c r="E272" s="7"/>
    </row>
    <row r="273" ht="15.75" customHeight="1">
      <c r="A273" s="7"/>
      <c r="B273" s="7"/>
      <c r="C273" s="7"/>
      <c r="D273" s="7"/>
      <c r="E273" s="7"/>
    </row>
    <row r="274" ht="15.75" customHeight="1">
      <c r="A274" s="7"/>
      <c r="B274" s="7"/>
      <c r="C274" s="7"/>
      <c r="D274" s="7"/>
      <c r="E274" s="7"/>
    </row>
    <row r="275" ht="15.75" customHeight="1">
      <c r="A275" s="7"/>
      <c r="B275" s="7"/>
      <c r="C275" s="7"/>
      <c r="D275" s="7"/>
      <c r="E275" s="7"/>
    </row>
    <row r="276" ht="15.75" customHeight="1">
      <c r="A276" s="7"/>
      <c r="B276" s="7"/>
      <c r="C276" s="7"/>
      <c r="D276" s="7"/>
      <c r="E276" s="7"/>
    </row>
    <row r="277" ht="15.75" customHeight="1">
      <c r="A277" s="7"/>
      <c r="B277" s="7"/>
      <c r="C277" s="7"/>
      <c r="D277" s="7"/>
      <c r="E277" s="7"/>
    </row>
    <row r="278" ht="15.75" customHeight="1">
      <c r="A278" s="7"/>
      <c r="B278" s="7"/>
      <c r="C278" s="7"/>
      <c r="D278" s="7"/>
      <c r="E278" s="7"/>
    </row>
    <row r="279" ht="15.75" customHeight="1">
      <c r="A279" s="7"/>
      <c r="B279" s="7"/>
      <c r="C279" s="7"/>
      <c r="D279" s="7"/>
      <c r="E279" s="7"/>
    </row>
    <row r="280" ht="15.75" customHeight="1">
      <c r="A280" s="7"/>
      <c r="B280" s="7"/>
      <c r="C280" s="7"/>
      <c r="D280" s="7"/>
      <c r="E280" s="7"/>
    </row>
    <row r="281" ht="15.75" customHeight="1">
      <c r="A281" s="7"/>
      <c r="B281" s="7"/>
      <c r="C281" s="7"/>
      <c r="D281" s="7"/>
      <c r="E281" s="7"/>
    </row>
    <row r="282" ht="15.75" customHeight="1">
      <c r="A282" s="7"/>
      <c r="B282" s="7"/>
      <c r="C282" s="7"/>
      <c r="D282" s="7"/>
      <c r="E282" s="7"/>
    </row>
    <row r="283" ht="15.75" customHeight="1">
      <c r="A283" s="7"/>
      <c r="B283" s="7"/>
      <c r="C283" s="7"/>
      <c r="D283" s="7"/>
      <c r="E283" s="7"/>
    </row>
    <row r="284" ht="15.75" customHeight="1">
      <c r="A284" s="7"/>
      <c r="B284" s="7"/>
      <c r="C284" s="7"/>
      <c r="D284" s="7"/>
      <c r="E284" s="7"/>
    </row>
    <row r="285" ht="15.75" customHeight="1">
      <c r="A285" s="7"/>
      <c r="B285" s="7"/>
      <c r="C285" s="7"/>
      <c r="D285" s="7"/>
      <c r="E285" s="7"/>
    </row>
    <row r="286" ht="15.75" customHeight="1">
      <c r="A286" s="7"/>
      <c r="B286" s="7"/>
      <c r="C286" s="7"/>
      <c r="D286" s="7"/>
      <c r="E286" s="7"/>
    </row>
    <row r="287" ht="15.75" customHeight="1">
      <c r="A287" s="7"/>
      <c r="B287" s="7"/>
      <c r="C287" s="7"/>
      <c r="D287" s="7"/>
      <c r="E287" s="7"/>
    </row>
    <row r="288" ht="15.75" customHeight="1">
      <c r="A288" s="7"/>
      <c r="B288" s="7"/>
      <c r="C288" s="7"/>
      <c r="D288" s="7"/>
      <c r="E288" s="7"/>
    </row>
    <row r="289" ht="15.75" customHeight="1">
      <c r="A289" s="7"/>
      <c r="B289" s="7"/>
      <c r="C289" s="7"/>
      <c r="D289" s="7"/>
      <c r="E289" s="7"/>
    </row>
    <row r="290" ht="15.75" customHeight="1">
      <c r="A290" s="7"/>
      <c r="B290" s="7"/>
      <c r="C290" s="7"/>
      <c r="D290" s="7"/>
      <c r="E290" s="7"/>
    </row>
    <row r="291" ht="15.75" customHeight="1">
      <c r="A291" s="7"/>
      <c r="B291" s="7"/>
      <c r="C291" s="7"/>
      <c r="D291" s="7"/>
      <c r="E291" s="7"/>
    </row>
    <row r="292" ht="15.75" customHeight="1">
      <c r="A292" s="7"/>
      <c r="B292" s="7"/>
      <c r="C292" s="7"/>
      <c r="D292" s="7"/>
      <c r="E292" s="7"/>
    </row>
    <row r="293" ht="15.75" customHeight="1">
      <c r="A293" s="7"/>
      <c r="B293" s="7"/>
      <c r="C293" s="7"/>
      <c r="D293" s="7"/>
      <c r="E293" s="7"/>
    </row>
    <row r="294" ht="15.75" customHeight="1">
      <c r="A294" s="7"/>
      <c r="B294" s="7"/>
      <c r="C294" s="7"/>
      <c r="D294" s="7"/>
      <c r="E294" s="7"/>
    </row>
    <row r="295" ht="15.75" customHeight="1">
      <c r="A295" s="7"/>
      <c r="B295" s="7"/>
      <c r="C295" s="7"/>
      <c r="D295" s="7"/>
      <c r="E295" s="7"/>
    </row>
    <row r="296" ht="15.75" customHeight="1">
      <c r="A296" s="7"/>
      <c r="B296" s="7"/>
      <c r="C296" s="7"/>
      <c r="D296" s="7"/>
      <c r="E296" s="7"/>
    </row>
    <row r="297" ht="15.75" customHeight="1">
      <c r="A297" s="7"/>
      <c r="B297" s="7"/>
      <c r="C297" s="7"/>
      <c r="D297" s="7"/>
      <c r="E297" s="7"/>
    </row>
    <row r="298" ht="15.75" customHeight="1">
      <c r="A298" s="7"/>
      <c r="B298" s="7"/>
      <c r="C298" s="7"/>
      <c r="D298" s="7"/>
      <c r="E298" s="7"/>
    </row>
    <row r="299" ht="15.75" customHeight="1">
      <c r="A299" s="7"/>
      <c r="B299" s="7"/>
      <c r="C299" s="7"/>
      <c r="D299" s="7"/>
      <c r="E299" s="7"/>
    </row>
    <row r="300" ht="15.75" customHeight="1">
      <c r="A300" s="7"/>
      <c r="B300" s="7"/>
      <c r="C300" s="7"/>
      <c r="D300" s="7"/>
      <c r="E300" s="7"/>
    </row>
    <row r="301" ht="15.75" customHeight="1">
      <c r="A301" s="7"/>
      <c r="B301" s="7"/>
      <c r="C301" s="7"/>
      <c r="D301" s="7"/>
      <c r="E301" s="7"/>
    </row>
    <row r="302" ht="15.75" customHeight="1">
      <c r="A302" s="7"/>
      <c r="B302" s="7"/>
      <c r="C302" s="7"/>
      <c r="D302" s="7"/>
      <c r="E302" s="7"/>
    </row>
    <row r="303" ht="15.75" customHeight="1">
      <c r="A303" s="7"/>
      <c r="B303" s="7"/>
      <c r="C303" s="7"/>
      <c r="D303" s="7"/>
      <c r="E303" s="7"/>
    </row>
    <row r="304" ht="15.75" customHeight="1">
      <c r="A304" s="7"/>
      <c r="B304" s="7"/>
      <c r="C304" s="7"/>
      <c r="D304" s="7"/>
      <c r="E304" s="7"/>
    </row>
    <row r="305" ht="15.75" customHeight="1">
      <c r="A305" s="7"/>
      <c r="B305" s="7"/>
      <c r="C305" s="7"/>
      <c r="D305" s="7"/>
      <c r="E305" s="7"/>
    </row>
    <row r="306" ht="15.75" customHeight="1">
      <c r="A306" s="7"/>
      <c r="B306" s="7"/>
      <c r="C306" s="7"/>
      <c r="D306" s="7"/>
      <c r="E306" s="7"/>
    </row>
    <row r="307" ht="15.75" customHeight="1">
      <c r="A307" s="7"/>
      <c r="B307" s="7"/>
      <c r="C307" s="7"/>
      <c r="D307" s="7"/>
      <c r="E307" s="7"/>
    </row>
    <row r="308" ht="15.75" customHeight="1">
      <c r="A308" s="7"/>
      <c r="B308" s="7"/>
      <c r="C308" s="7"/>
      <c r="D308" s="7"/>
      <c r="E308" s="7"/>
    </row>
    <row r="309" ht="15.75" customHeight="1">
      <c r="A309" s="7"/>
      <c r="B309" s="7"/>
      <c r="C309" s="7"/>
      <c r="D309" s="7"/>
      <c r="E309" s="7"/>
    </row>
    <row r="310" ht="15.75" customHeight="1">
      <c r="A310" s="7"/>
      <c r="B310" s="7"/>
      <c r="C310" s="7"/>
      <c r="D310" s="7"/>
      <c r="E310" s="7"/>
    </row>
    <row r="311" ht="15.75" customHeight="1">
      <c r="A311" s="7"/>
      <c r="B311" s="7"/>
      <c r="C311" s="7"/>
      <c r="D311" s="7"/>
      <c r="E311" s="7"/>
    </row>
    <row r="312" ht="15.75" customHeight="1">
      <c r="A312" s="7"/>
      <c r="B312" s="7"/>
      <c r="C312" s="7"/>
      <c r="D312" s="7"/>
      <c r="E312" s="7"/>
    </row>
    <row r="313" ht="15.75" customHeight="1">
      <c r="A313" s="7"/>
      <c r="B313" s="7"/>
      <c r="C313" s="7"/>
      <c r="D313" s="7"/>
      <c r="E313" s="7"/>
    </row>
    <row r="314" ht="15.75" customHeight="1">
      <c r="A314" s="7"/>
      <c r="B314" s="7"/>
      <c r="C314" s="7"/>
      <c r="D314" s="7"/>
      <c r="E314" s="7"/>
    </row>
    <row r="315" ht="15.75" customHeight="1">
      <c r="A315" s="7"/>
      <c r="B315" s="7"/>
      <c r="C315" s="7"/>
      <c r="D315" s="7"/>
      <c r="E315" s="7"/>
    </row>
    <row r="316" ht="15.75" customHeight="1">
      <c r="A316" s="7"/>
      <c r="B316" s="7"/>
      <c r="C316" s="7"/>
      <c r="D316" s="7"/>
      <c r="E316" s="7"/>
    </row>
    <row r="317" ht="15.75" customHeight="1">
      <c r="A317" s="7"/>
      <c r="B317" s="7"/>
      <c r="C317" s="7"/>
      <c r="D317" s="7"/>
      <c r="E317" s="7"/>
    </row>
    <row r="318" ht="15.75" customHeight="1">
      <c r="A318" s="7"/>
      <c r="B318" s="7"/>
      <c r="C318" s="7"/>
      <c r="D318" s="7"/>
      <c r="E318" s="7"/>
    </row>
    <row r="319" ht="15.75" customHeight="1">
      <c r="A319" s="7"/>
      <c r="B319" s="7"/>
      <c r="C319" s="7"/>
      <c r="D319" s="7"/>
      <c r="E319" s="7"/>
    </row>
    <row r="320" ht="15.75" customHeight="1">
      <c r="A320" s="7"/>
      <c r="B320" s="7"/>
      <c r="C320" s="7"/>
      <c r="D320" s="7"/>
      <c r="E320" s="7"/>
    </row>
    <row r="321" ht="15.75" customHeight="1">
      <c r="A321" s="7"/>
      <c r="B321" s="7"/>
      <c r="C321" s="7"/>
      <c r="D321" s="7"/>
      <c r="E321" s="7"/>
    </row>
    <row r="322" ht="15.75" customHeight="1">
      <c r="A322" s="7"/>
      <c r="B322" s="7"/>
      <c r="C322" s="7"/>
      <c r="D322" s="7"/>
      <c r="E322" s="7"/>
    </row>
    <row r="323" ht="15.75" customHeight="1">
      <c r="A323" s="7"/>
      <c r="B323" s="7"/>
      <c r="C323" s="7"/>
      <c r="D323" s="7"/>
      <c r="E323" s="7"/>
    </row>
    <row r="324" ht="15.75" customHeight="1">
      <c r="A324" s="7"/>
      <c r="B324" s="7"/>
      <c r="C324" s="7"/>
      <c r="D324" s="7"/>
      <c r="E324" s="7"/>
    </row>
    <row r="325" ht="15.75" customHeight="1">
      <c r="A325" s="7"/>
      <c r="B325" s="7"/>
      <c r="C325" s="7"/>
      <c r="D325" s="7"/>
      <c r="E325" s="7"/>
    </row>
    <row r="326" ht="15.75" customHeight="1">
      <c r="A326" s="7"/>
      <c r="B326" s="7"/>
      <c r="C326" s="7"/>
      <c r="D326" s="7"/>
      <c r="E326" s="7"/>
    </row>
    <row r="327" ht="15.75" customHeight="1">
      <c r="A327" s="7"/>
      <c r="B327" s="7"/>
      <c r="C327" s="7"/>
      <c r="D327" s="7"/>
      <c r="E327" s="7"/>
    </row>
    <row r="328" ht="15.75" customHeight="1">
      <c r="A328" s="7"/>
      <c r="B328" s="7"/>
      <c r="C328" s="7"/>
      <c r="D328" s="7"/>
      <c r="E328" s="7"/>
    </row>
    <row r="329" ht="15.75" customHeight="1">
      <c r="A329" s="7"/>
      <c r="B329" s="7"/>
      <c r="C329" s="7"/>
      <c r="D329" s="7"/>
      <c r="E329" s="7"/>
    </row>
    <row r="330" ht="15.75" customHeight="1">
      <c r="A330" s="7"/>
      <c r="B330" s="7"/>
      <c r="C330" s="7"/>
      <c r="D330" s="7"/>
      <c r="E330" s="7"/>
    </row>
    <row r="331" ht="15.75" customHeight="1">
      <c r="A331" s="7"/>
      <c r="B331" s="7"/>
      <c r="C331" s="7"/>
      <c r="D331" s="7"/>
      <c r="E331" s="7"/>
    </row>
    <row r="332" ht="15.75" customHeight="1">
      <c r="A332" s="7"/>
      <c r="B332" s="7"/>
      <c r="C332" s="7"/>
      <c r="D332" s="7"/>
      <c r="E332" s="7"/>
    </row>
    <row r="333" ht="15.75" customHeight="1">
      <c r="A333" s="7"/>
      <c r="B333" s="7"/>
      <c r="C333" s="7"/>
      <c r="D333" s="7"/>
      <c r="E333" s="7"/>
    </row>
    <row r="334" ht="15.75" customHeight="1">
      <c r="A334" s="7"/>
      <c r="B334" s="7"/>
      <c r="C334" s="7"/>
      <c r="D334" s="7"/>
      <c r="E334" s="7"/>
    </row>
    <row r="335" ht="15.75" customHeight="1">
      <c r="A335" s="7"/>
      <c r="B335" s="7"/>
      <c r="C335" s="7"/>
      <c r="D335" s="7"/>
      <c r="E335" s="7"/>
    </row>
    <row r="336" ht="15.75" customHeight="1">
      <c r="A336" s="7"/>
      <c r="B336" s="7"/>
      <c r="C336" s="7"/>
      <c r="D336" s="7"/>
      <c r="E336" s="7"/>
    </row>
    <row r="337" ht="15.75" customHeight="1">
      <c r="A337" s="7"/>
      <c r="B337" s="7"/>
      <c r="C337" s="7"/>
      <c r="D337" s="7"/>
      <c r="E337" s="7"/>
    </row>
    <row r="338" ht="15.75" customHeight="1">
      <c r="A338" s="7"/>
      <c r="B338" s="7"/>
      <c r="C338" s="7"/>
      <c r="D338" s="7"/>
      <c r="E338" s="7"/>
    </row>
    <row r="339" ht="15.75" customHeight="1">
      <c r="A339" s="7"/>
      <c r="B339" s="7"/>
      <c r="C339" s="7"/>
      <c r="D339" s="7"/>
      <c r="E339" s="7"/>
    </row>
    <row r="340" ht="15.75" customHeight="1">
      <c r="A340" s="7"/>
      <c r="B340" s="7"/>
      <c r="C340" s="7"/>
      <c r="D340" s="7"/>
      <c r="E340" s="7"/>
    </row>
    <row r="341" ht="15.75" customHeight="1">
      <c r="A341" s="7"/>
      <c r="B341" s="7"/>
      <c r="C341" s="7"/>
      <c r="D341" s="7"/>
      <c r="E341" s="7"/>
    </row>
    <row r="342" ht="15.75" customHeight="1">
      <c r="A342" s="7"/>
      <c r="B342" s="7"/>
      <c r="C342" s="7"/>
      <c r="D342" s="7"/>
      <c r="E342" s="7"/>
    </row>
    <row r="343" ht="15.75" customHeight="1">
      <c r="A343" s="7"/>
      <c r="B343" s="7"/>
      <c r="C343" s="7"/>
      <c r="D343" s="7"/>
      <c r="E343" s="7"/>
    </row>
    <row r="344" ht="15.75" customHeight="1">
      <c r="A344" s="7"/>
      <c r="B344" s="7"/>
      <c r="C344" s="7"/>
      <c r="D344" s="7"/>
      <c r="E344" s="7"/>
    </row>
    <row r="345" ht="15.75" customHeight="1">
      <c r="A345" s="7"/>
      <c r="B345" s="7"/>
      <c r="C345" s="7"/>
      <c r="D345" s="7"/>
      <c r="E345" s="7"/>
    </row>
    <row r="346" ht="15.75" customHeight="1">
      <c r="A346" s="7"/>
      <c r="B346" s="7"/>
      <c r="C346" s="7"/>
      <c r="D346" s="7"/>
      <c r="E346" s="7"/>
    </row>
    <row r="347" ht="15.75" customHeight="1">
      <c r="A347" s="7"/>
      <c r="B347" s="7"/>
      <c r="C347" s="7"/>
      <c r="D347" s="7"/>
      <c r="E347" s="7"/>
    </row>
    <row r="348" ht="15.75" customHeight="1">
      <c r="A348" s="7"/>
      <c r="B348" s="7"/>
      <c r="C348" s="7"/>
      <c r="D348" s="7"/>
      <c r="E348" s="7"/>
    </row>
    <row r="349" ht="15.75" customHeight="1">
      <c r="A349" s="7"/>
      <c r="B349" s="7"/>
      <c r="C349" s="7"/>
      <c r="D349" s="7"/>
      <c r="E349" s="7"/>
    </row>
    <row r="350" ht="15.75" customHeight="1">
      <c r="A350" s="7"/>
      <c r="B350" s="7"/>
      <c r="C350" s="7"/>
      <c r="D350" s="7"/>
      <c r="E350" s="7"/>
    </row>
    <row r="351" ht="15.75" customHeight="1">
      <c r="A351" s="7"/>
      <c r="B351" s="7"/>
      <c r="C351" s="7"/>
      <c r="D351" s="7"/>
      <c r="E351" s="7"/>
    </row>
    <row r="352" ht="15.75" customHeight="1">
      <c r="A352" s="7"/>
      <c r="B352" s="7"/>
      <c r="C352" s="7"/>
      <c r="D352" s="7"/>
      <c r="E352" s="7"/>
    </row>
    <row r="353" ht="15.75" customHeight="1">
      <c r="A353" s="7"/>
      <c r="B353" s="7"/>
      <c r="C353" s="7"/>
      <c r="D353" s="7"/>
      <c r="E353" s="7"/>
    </row>
    <row r="354" ht="15.75" customHeight="1">
      <c r="A354" s="7"/>
      <c r="B354" s="7"/>
      <c r="C354" s="7"/>
      <c r="D354" s="7"/>
      <c r="E354" s="7"/>
    </row>
    <row r="355" ht="15.75" customHeight="1">
      <c r="A355" s="7"/>
      <c r="B355" s="7"/>
      <c r="C355" s="7"/>
      <c r="D355" s="7"/>
      <c r="E355" s="7"/>
    </row>
    <row r="356" ht="15.75" customHeight="1">
      <c r="A356" s="7"/>
      <c r="B356" s="7"/>
      <c r="C356" s="7"/>
      <c r="D356" s="7"/>
      <c r="E356" s="7"/>
    </row>
    <row r="357" ht="15.75" customHeight="1">
      <c r="A357" s="7"/>
      <c r="B357" s="7"/>
      <c r="C357" s="7"/>
      <c r="D357" s="7"/>
      <c r="E357" s="7"/>
    </row>
    <row r="358" ht="15.75" customHeight="1">
      <c r="A358" s="7"/>
      <c r="B358" s="7"/>
      <c r="C358" s="7"/>
      <c r="D358" s="7"/>
      <c r="E358" s="7"/>
    </row>
    <row r="359" ht="15.75" customHeight="1">
      <c r="A359" s="7"/>
      <c r="B359" s="7"/>
      <c r="C359" s="7"/>
      <c r="D359" s="7"/>
      <c r="E359" s="7"/>
    </row>
    <row r="360" ht="15.75" customHeight="1">
      <c r="A360" s="7"/>
      <c r="B360" s="7"/>
      <c r="C360" s="7"/>
      <c r="D360" s="7"/>
      <c r="E360" s="7"/>
    </row>
    <row r="361" ht="15.75" customHeight="1">
      <c r="A361" s="7"/>
      <c r="B361" s="7"/>
      <c r="C361" s="7"/>
      <c r="D361" s="7"/>
      <c r="E361" s="7"/>
    </row>
    <row r="362" ht="15.75" customHeight="1">
      <c r="A362" s="7"/>
      <c r="B362" s="7"/>
      <c r="C362" s="7"/>
      <c r="D362" s="7"/>
      <c r="E362" s="7"/>
    </row>
    <row r="363" ht="15.75" customHeight="1">
      <c r="A363" s="7"/>
      <c r="B363" s="7"/>
      <c r="C363" s="7"/>
      <c r="D363" s="7"/>
      <c r="E363" s="7"/>
    </row>
    <row r="364" ht="15.75" customHeight="1">
      <c r="A364" s="7"/>
      <c r="B364" s="7"/>
      <c r="C364" s="7"/>
      <c r="D364" s="7"/>
      <c r="E364" s="7"/>
    </row>
    <row r="365" ht="15.75" customHeight="1">
      <c r="A365" s="7"/>
      <c r="B365" s="7"/>
      <c r="C365" s="7"/>
      <c r="D365" s="7"/>
      <c r="E365" s="7"/>
    </row>
    <row r="366" ht="15.75" customHeight="1">
      <c r="A366" s="7"/>
      <c r="B366" s="7"/>
      <c r="C366" s="7"/>
      <c r="D366" s="7"/>
      <c r="E366" s="7"/>
    </row>
    <row r="367" ht="15.75" customHeight="1">
      <c r="A367" s="7"/>
      <c r="B367" s="7"/>
      <c r="C367" s="7"/>
      <c r="D367" s="7"/>
      <c r="E367" s="7"/>
    </row>
    <row r="368" ht="15.75" customHeight="1">
      <c r="A368" s="7"/>
      <c r="B368" s="7"/>
      <c r="C368" s="7"/>
      <c r="D368" s="7"/>
      <c r="E368" s="7"/>
    </row>
    <row r="369" ht="15.75" customHeight="1">
      <c r="A369" s="7"/>
      <c r="B369" s="7"/>
      <c r="C369" s="7"/>
      <c r="D369" s="7"/>
      <c r="E369" s="7"/>
    </row>
    <row r="370" ht="15.75" customHeight="1">
      <c r="A370" s="7"/>
      <c r="B370" s="7"/>
      <c r="C370" s="7"/>
      <c r="D370" s="7"/>
      <c r="E370" s="7"/>
    </row>
    <row r="371" ht="15.75" customHeight="1">
      <c r="A371" s="7"/>
      <c r="B371" s="7"/>
      <c r="C371" s="7"/>
      <c r="D371" s="7"/>
      <c r="E371" s="7"/>
    </row>
    <row r="372" ht="15.75" customHeight="1">
      <c r="A372" s="7"/>
      <c r="B372" s="7"/>
      <c r="C372" s="7"/>
      <c r="D372" s="7"/>
      <c r="E372" s="7"/>
    </row>
    <row r="373" ht="15.75" customHeight="1">
      <c r="A373" s="7"/>
      <c r="B373" s="7"/>
      <c r="C373" s="7"/>
      <c r="D373" s="7"/>
      <c r="E373" s="7"/>
    </row>
    <row r="374" ht="15.75" customHeight="1">
      <c r="A374" s="7"/>
      <c r="B374" s="7"/>
      <c r="C374" s="7"/>
      <c r="D374" s="7"/>
      <c r="E374" s="7"/>
    </row>
    <row r="375" ht="15.75" customHeight="1">
      <c r="A375" s="7"/>
      <c r="B375" s="7"/>
      <c r="C375" s="7"/>
      <c r="D375" s="7"/>
      <c r="E375" s="7"/>
    </row>
    <row r="376" ht="15.75" customHeight="1">
      <c r="A376" s="7"/>
      <c r="B376" s="7"/>
      <c r="C376" s="7"/>
      <c r="D376" s="7"/>
      <c r="E376" s="7"/>
    </row>
    <row r="377" ht="15.75" customHeight="1">
      <c r="A377" s="7"/>
      <c r="B377" s="7"/>
      <c r="C377" s="7"/>
      <c r="D377" s="7"/>
      <c r="E377" s="7"/>
    </row>
    <row r="378" ht="15.75" customHeight="1">
      <c r="A378" s="7"/>
      <c r="B378" s="7"/>
      <c r="C378" s="7"/>
      <c r="D378" s="7"/>
      <c r="E378" s="7"/>
    </row>
    <row r="379" ht="15.75" customHeight="1">
      <c r="A379" s="7"/>
      <c r="B379" s="7"/>
      <c r="C379" s="7"/>
      <c r="D379" s="7"/>
      <c r="E379" s="7"/>
    </row>
    <row r="380" ht="15.75" customHeight="1">
      <c r="A380" s="7"/>
      <c r="B380" s="7"/>
      <c r="C380" s="7"/>
      <c r="D380" s="7"/>
      <c r="E380" s="7"/>
    </row>
    <row r="381" ht="15.75" customHeight="1">
      <c r="A381" s="7"/>
      <c r="B381" s="7"/>
      <c r="C381" s="7"/>
      <c r="D381" s="7"/>
      <c r="E381" s="7"/>
    </row>
    <row r="382" ht="15.75" customHeight="1">
      <c r="A382" s="7"/>
      <c r="B382" s="7"/>
      <c r="C382" s="7"/>
      <c r="D382" s="7"/>
      <c r="E382" s="7"/>
    </row>
    <row r="383" ht="15.75" customHeight="1">
      <c r="A383" s="7"/>
      <c r="B383" s="7"/>
      <c r="C383" s="7"/>
      <c r="D383" s="7"/>
      <c r="E383" s="7"/>
    </row>
    <row r="384" ht="15.75" customHeight="1">
      <c r="A384" s="7"/>
      <c r="B384" s="7"/>
      <c r="C384" s="7"/>
      <c r="D384" s="7"/>
      <c r="E384" s="7"/>
    </row>
    <row r="385" ht="15.75" customHeight="1">
      <c r="A385" s="7"/>
      <c r="B385" s="7"/>
      <c r="C385" s="7"/>
      <c r="D385" s="7"/>
      <c r="E385" s="7"/>
    </row>
    <row r="386" ht="15.75" customHeight="1">
      <c r="A386" s="7"/>
      <c r="B386" s="7"/>
      <c r="C386" s="7"/>
      <c r="D386" s="7"/>
      <c r="E386" s="7"/>
    </row>
    <row r="387" ht="15.75" customHeight="1">
      <c r="A387" s="7"/>
      <c r="B387" s="7"/>
      <c r="C387" s="7"/>
      <c r="D387" s="7"/>
      <c r="E387" s="7"/>
    </row>
    <row r="388" ht="15.75" customHeight="1">
      <c r="A388" s="7"/>
      <c r="B388" s="7"/>
      <c r="C388" s="7"/>
      <c r="D388" s="7"/>
      <c r="E388" s="7"/>
    </row>
    <row r="389" ht="15.75" customHeight="1">
      <c r="A389" s="7"/>
      <c r="B389" s="7"/>
      <c r="C389" s="7"/>
      <c r="D389" s="7"/>
      <c r="E389" s="7"/>
    </row>
    <row r="390" ht="15.75" customHeight="1">
      <c r="A390" s="7"/>
      <c r="B390" s="7"/>
      <c r="C390" s="7"/>
      <c r="D390" s="7"/>
      <c r="E390" s="7"/>
    </row>
    <row r="391" ht="15.75" customHeight="1">
      <c r="A391" s="7"/>
      <c r="B391" s="7"/>
      <c r="C391" s="7"/>
      <c r="D391" s="7"/>
      <c r="E391" s="7"/>
    </row>
    <row r="392" ht="15.75" customHeight="1">
      <c r="A392" s="7"/>
      <c r="B392" s="7"/>
      <c r="C392" s="7"/>
      <c r="D392" s="7"/>
      <c r="E392" s="7"/>
    </row>
    <row r="393" ht="15.75" customHeight="1">
      <c r="A393" s="7"/>
      <c r="B393" s="7"/>
      <c r="C393" s="7"/>
      <c r="D393" s="7"/>
      <c r="E393" s="7"/>
    </row>
    <row r="394" ht="15.75" customHeight="1">
      <c r="A394" s="7"/>
      <c r="B394" s="7"/>
      <c r="C394" s="7"/>
      <c r="D394" s="7"/>
      <c r="E394" s="7"/>
    </row>
    <row r="395" ht="15.75" customHeight="1">
      <c r="A395" s="7"/>
      <c r="B395" s="7"/>
      <c r="C395" s="7"/>
      <c r="D395" s="7"/>
      <c r="E395" s="7"/>
    </row>
    <row r="396" ht="15.75" customHeight="1">
      <c r="A396" s="7"/>
      <c r="B396" s="7"/>
      <c r="C396" s="7"/>
      <c r="D396" s="7"/>
      <c r="E396" s="7"/>
    </row>
    <row r="397" ht="15.75" customHeight="1">
      <c r="A397" s="7"/>
      <c r="B397" s="7"/>
      <c r="C397" s="7"/>
      <c r="D397" s="7"/>
      <c r="E397" s="7"/>
    </row>
    <row r="398" ht="15.75" customHeight="1">
      <c r="A398" s="7"/>
      <c r="B398" s="7"/>
      <c r="C398" s="7"/>
      <c r="D398" s="7"/>
      <c r="E398" s="7"/>
    </row>
    <row r="399" ht="15.75" customHeight="1">
      <c r="A399" s="7"/>
      <c r="B399" s="7"/>
      <c r="C399" s="7"/>
      <c r="D399" s="7"/>
      <c r="E399" s="7"/>
    </row>
    <row r="400" ht="15.75" customHeight="1">
      <c r="A400" s="7"/>
      <c r="B400" s="7"/>
      <c r="C400" s="7"/>
      <c r="D400" s="7"/>
      <c r="E400" s="7"/>
    </row>
    <row r="401" ht="15.75" customHeight="1">
      <c r="A401" s="7"/>
      <c r="B401" s="7"/>
      <c r="C401" s="7"/>
      <c r="D401" s="7"/>
      <c r="E401" s="7"/>
    </row>
    <row r="402" ht="15.75" customHeight="1">
      <c r="A402" s="7"/>
      <c r="B402" s="7"/>
      <c r="C402" s="7"/>
      <c r="D402" s="7"/>
      <c r="E402" s="7"/>
    </row>
    <row r="403" ht="15.75" customHeight="1">
      <c r="A403" s="7"/>
      <c r="B403" s="7"/>
      <c r="C403" s="7"/>
      <c r="D403" s="7"/>
      <c r="E403" s="7"/>
    </row>
    <row r="404" ht="15.75" customHeight="1">
      <c r="A404" s="7"/>
      <c r="B404" s="7"/>
      <c r="C404" s="7"/>
      <c r="D404" s="7"/>
      <c r="E404" s="7"/>
    </row>
    <row r="405" ht="15.75" customHeight="1">
      <c r="A405" s="7"/>
      <c r="B405" s="7"/>
      <c r="C405" s="7"/>
      <c r="D405" s="7"/>
      <c r="E405" s="7"/>
    </row>
    <row r="406" ht="15.75" customHeight="1">
      <c r="A406" s="7"/>
      <c r="B406" s="7"/>
      <c r="C406" s="7"/>
      <c r="D406" s="7"/>
      <c r="E406" s="7"/>
    </row>
    <row r="407" ht="15.75" customHeight="1">
      <c r="A407" s="7"/>
      <c r="B407" s="7"/>
      <c r="C407" s="7"/>
      <c r="D407" s="7"/>
      <c r="E407" s="7"/>
    </row>
    <row r="408" ht="15.75" customHeight="1">
      <c r="A408" s="7"/>
      <c r="B408" s="7"/>
      <c r="C408" s="7"/>
      <c r="D408" s="7"/>
      <c r="E408" s="7"/>
    </row>
    <row r="409" ht="15.75" customHeight="1">
      <c r="A409" s="7"/>
      <c r="B409" s="7"/>
      <c r="C409" s="7"/>
      <c r="D409" s="7"/>
      <c r="E409" s="7"/>
    </row>
    <row r="410" ht="15.75" customHeight="1">
      <c r="A410" s="7"/>
      <c r="B410" s="7"/>
      <c r="C410" s="7"/>
      <c r="D410" s="7"/>
      <c r="E410" s="7"/>
    </row>
    <row r="411" ht="15.75" customHeight="1">
      <c r="A411" s="7"/>
      <c r="B411" s="7"/>
      <c r="C411" s="7"/>
      <c r="D411" s="7"/>
      <c r="E411" s="7"/>
    </row>
    <row r="412" ht="15.75" customHeight="1">
      <c r="A412" s="7"/>
      <c r="B412" s="7"/>
      <c r="C412" s="7"/>
      <c r="D412" s="7"/>
      <c r="E412" s="7"/>
    </row>
    <row r="413" ht="15.75" customHeight="1">
      <c r="A413" s="7"/>
      <c r="B413" s="7"/>
      <c r="C413" s="7"/>
      <c r="D413" s="7"/>
      <c r="E413" s="7"/>
    </row>
    <row r="414" ht="15.75" customHeight="1">
      <c r="A414" s="7"/>
      <c r="B414" s="7"/>
      <c r="C414" s="7"/>
      <c r="D414" s="7"/>
      <c r="E414" s="7"/>
    </row>
    <row r="415" ht="15.75" customHeight="1">
      <c r="A415" s="7"/>
      <c r="B415" s="7"/>
      <c r="C415" s="7"/>
      <c r="D415" s="7"/>
      <c r="E415" s="7"/>
    </row>
    <row r="416" ht="15.75" customHeight="1">
      <c r="A416" s="7"/>
      <c r="B416" s="7"/>
      <c r="C416" s="7"/>
      <c r="D416" s="7"/>
      <c r="E416" s="7"/>
    </row>
    <row r="417" ht="15.75" customHeight="1">
      <c r="A417" s="7"/>
      <c r="B417" s="7"/>
      <c r="C417" s="7"/>
      <c r="D417" s="7"/>
      <c r="E417" s="7"/>
    </row>
    <row r="418" ht="15.75" customHeight="1">
      <c r="A418" s="7"/>
      <c r="B418" s="7"/>
      <c r="C418" s="7"/>
      <c r="D418" s="7"/>
      <c r="E418" s="7"/>
    </row>
    <row r="419" ht="15.75" customHeight="1">
      <c r="A419" s="7"/>
      <c r="B419" s="7"/>
      <c r="C419" s="7"/>
      <c r="D419" s="7"/>
      <c r="E419" s="7"/>
    </row>
    <row r="420" ht="15.75" customHeight="1">
      <c r="A420" s="7"/>
      <c r="B420" s="7"/>
      <c r="C420" s="7"/>
      <c r="D420" s="7"/>
      <c r="E420" s="7"/>
    </row>
    <row r="421" ht="15.75" customHeight="1">
      <c r="A421" s="7"/>
      <c r="B421" s="7"/>
      <c r="C421" s="7"/>
      <c r="D421" s="7"/>
      <c r="E421" s="7"/>
    </row>
    <row r="422" ht="15.75" customHeight="1">
      <c r="A422" s="7"/>
      <c r="B422" s="7"/>
      <c r="C422" s="7"/>
      <c r="D422" s="7"/>
      <c r="E422" s="7"/>
    </row>
    <row r="423" ht="15.75" customHeight="1">
      <c r="A423" s="7"/>
      <c r="B423" s="7"/>
      <c r="C423" s="7"/>
      <c r="D423" s="7"/>
      <c r="E423" s="7"/>
    </row>
    <row r="424" ht="15.75" customHeight="1">
      <c r="A424" s="7"/>
      <c r="B424" s="7"/>
      <c r="C424" s="7"/>
      <c r="D424" s="7"/>
      <c r="E424" s="7"/>
    </row>
    <row r="425" ht="15.75" customHeight="1">
      <c r="A425" s="7"/>
      <c r="B425" s="7"/>
      <c r="C425" s="7"/>
      <c r="D425" s="7"/>
      <c r="E425" s="7"/>
    </row>
    <row r="426" ht="15.75" customHeight="1">
      <c r="A426" s="7"/>
      <c r="B426" s="7"/>
      <c r="C426" s="7"/>
      <c r="D426" s="7"/>
      <c r="E426" s="7"/>
    </row>
    <row r="427" ht="15.75" customHeight="1">
      <c r="A427" s="7"/>
      <c r="B427" s="7"/>
      <c r="C427" s="7"/>
      <c r="D427" s="7"/>
      <c r="E427" s="7"/>
    </row>
    <row r="428" ht="15.75" customHeight="1">
      <c r="A428" s="7"/>
      <c r="B428" s="7"/>
      <c r="C428" s="7"/>
      <c r="D428" s="7"/>
      <c r="E428" s="7"/>
    </row>
    <row r="429" ht="15.75" customHeight="1">
      <c r="A429" s="7"/>
      <c r="B429" s="7"/>
      <c r="C429" s="7"/>
      <c r="D429" s="7"/>
      <c r="E429" s="7"/>
    </row>
    <row r="430" ht="15.75" customHeight="1">
      <c r="A430" s="7"/>
      <c r="B430" s="7"/>
      <c r="C430" s="7"/>
      <c r="D430" s="7"/>
      <c r="E430" s="7"/>
    </row>
    <row r="431" ht="15.75" customHeight="1">
      <c r="A431" s="7"/>
      <c r="B431" s="7"/>
      <c r="C431" s="7"/>
      <c r="D431" s="7"/>
      <c r="E431" s="7"/>
    </row>
    <row r="432" ht="15.75" customHeight="1">
      <c r="A432" s="7"/>
      <c r="B432" s="7"/>
      <c r="C432" s="7"/>
      <c r="D432" s="7"/>
      <c r="E432" s="7"/>
    </row>
    <row r="433" ht="15.75" customHeight="1">
      <c r="A433" s="7"/>
      <c r="B433" s="7"/>
      <c r="C433" s="7"/>
      <c r="D433" s="7"/>
      <c r="E433" s="7"/>
    </row>
    <row r="434" ht="15.75" customHeight="1">
      <c r="A434" s="7"/>
      <c r="B434" s="7"/>
      <c r="C434" s="7"/>
      <c r="D434" s="7"/>
      <c r="E434" s="7"/>
    </row>
    <row r="435" ht="15.75" customHeight="1">
      <c r="A435" s="7"/>
      <c r="B435" s="7"/>
      <c r="C435" s="7"/>
      <c r="D435" s="7"/>
      <c r="E435" s="7"/>
    </row>
    <row r="436" ht="15.75" customHeight="1">
      <c r="A436" s="7"/>
      <c r="B436" s="7"/>
      <c r="C436" s="7"/>
      <c r="D436" s="7"/>
      <c r="E436" s="7"/>
    </row>
    <row r="437" ht="15.75" customHeight="1">
      <c r="A437" s="7"/>
      <c r="B437" s="7"/>
      <c r="C437" s="7"/>
      <c r="D437" s="7"/>
      <c r="E437" s="7"/>
    </row>
    <row r="438" ht="15.75" customHeight="1">
      <c r="A438" s="7"/>
      <c r="B438" s="7"/>
      <c r="C438" s="7"/>
      <c r="D438" s="7"/>
      <c r="E438" s="7"/>
    </row>
    <row r="439" ht="15.75" customHeight="1">
      <c r="A439" s="7"/>
      <c r="B439" s="7"/>
      <c r="C439" s="7"/>
      <c r="D439" s="7"/>
      <c r="E439" s="7"/>
    </row>
    <row r="440" ht="15.75" customHeight="1">
      <c r="A440" s="7"/>
      <c r="B440" s="7"/>
      <c r="C440" s="7"/>
      <c r="D440" s="7"/>
      <c r="E440" s="7"/>
    </row>
    <row r="441" ht="15.75" customHeight="1">
      <c r="A441" s="7"/>
      <c r="B441" s="7"/>
      <c r="C441" s="7"/>
      <c r="D441" s="7"/>
      <c r="E441" s="7"/>
    </row>
    <row r="442" ht="15.75" customHeight="1">
      <c r="A442" s="7"/>
      <c r="B442" s="7"/>
      <c r="C442" s="7"/>
      <c r="D442" s="7"/>
      <c r="E442" s="7"/>
    </row>
    <row r="443" ht="15.75" customHeight="1">
      <c r="A443" s="7"/>
      <c r="B443" s="7"/>
      <c r="C443" s="7"/>
      <c r="D443" s="7"/>
      <c r="E443" s="7"/>
    </row>
    <row r="444" ht="15.75" customHeight="1">
      <c r="A444" s="7"/>
      <c r="B444" s="7"/>
      <c r="C444" s="7"/>
      <c r="D444" s="7"/>
      <c r="E444" s="7"/>
    </row>
    <row r="445" ht="15.75" customHeight="1">
      <c r="A445" s="7"/>
      <c r="B445" s="7"/>
      <c r="C445" s="7"/>
      <c r="D445" s="7"/>
      <c r="E445" s="7"/>
    </row>
    <row r="446" ht="15.75" customHeight="1">
      <c r="A446" s="7"/>
      <c r="B446" s="7"/>
      <c r="C446" s="7"/>
      <c r="D446" s="7"/>
      <c r="E446" s="7"/>
    </row>
    <row r="447" ht="15.75" customHeight="1">
      <c r="A447" s="7"/>
      <c r="B447" s="7"/>
      <c r="C447" s="7"/>
      <c r="D447" s="7"/>
      <c r="E447" s="7"/>
    </row>
    <row r="448" ht="15.75" customHeight="1">
      <c r="A448" s="7"/>
      <c r="B448" s="7"/>
      <c r="C448" s="7"/>
      <c r="D448" s="7"/>
      <c r="E448" s="7"/>
    </row>
    <row r="449" ht="15.75" customHeight="1">
      <c r="A449" s="7"/>
      <c r="B449" s="7"/>
      <c r="C449" s="7"/>
      <c r="D449" s="7"/>
      <c r="E449" s="7"/>
    </row>
    <row r="450" ht="15.75" customHeight="1">
      <c r="A450" s="7"/>
      <c r="B450" s="7"/>
      <c r="C450" s="7"/>
      <c r="D450" s="7"/>
      <c r="E450" s="7"/>
    </row>
    <row r="451" ht="15.75" customHeight="1">
      <c r="A451" s="7"/>
      <c r="B451" s="7"/>
      <c r="C451" s="7"/>
      <c r="D451" s="7"/>
      <c r="E451" s="7"/>
    </row>
    <row r="452" ht="15.75" customHeight="1">
      <c r="A452" s="7"/>
      <c r="B452" s="7"/>
      <c r="C452" s="7"/>
      <c r="D452" s="7"/>
      <c r="E452" s="7"/>
    </row>
    <row r="453" ht="15.75" customHeight="1">
      <c r="A453" s="7"/>
      <c r="B453" s="7"/>
      <c r="C453" s="7"/>
      <c r="D453" s="7"/>
      <c r="E453" s="7"/>
    </row>
    <row r="454" ht="15.75" customHeight="1">
      <c r="A454" s="7"/>
      <c r="B454" s="7"/>
      <c r="C454" s="7"/>
      <c r="D454" s="7"/>
      <c r="E454" s="7"/>
    </row>
    <row r="455" ht="15.75" customHeight="1">
      <c r="A455" s="7"/>
      <c r="B455" s="7"/>
      <c r="C455" s="7"/>
      <c r="D455" s="7"/>
      <c r="E455" s="7"/>
    </row>
    <row r="456" ht="15.75" customHeight="1">
      <c r="A456" s="7"/>
      <c r="B456" s="7"/>
      <c r="C456" s="7"/>
      <c r="D456" s="7"/>
      <c r="E456" s="7"/>
    </row>
    <row r="457" ht="15.75" customHeight="1">
      <c r="A457" s="7"/>
      <c r="B457" s="7"/>
      <c r="C457" s="7"/>
      <c r="D457" s="7"/>
      <c r="E457" s="7"/>
    </row>
    <row r="458" ht="15.75" customHeight="1">
      <c r="A458" s="7"/>
      <c r="B458" s="7"/>
      <c r="C458" s="7"/>
      <c r="D458" s="7"/>
      <c r="E458" s="7"/>
    </row>
    <row r="459" ht="15.75" customHeight="1">
      <c r="A459" s="7"/>
      <c r="B459" s="7"/>
      <c r="C459" s="7"/>
      <c r="D459" s="7"/>
      <c r="E459" s="7"/>
    </row>
    <row r="460" ht="15.75" customHeight="1">
      <c r="A460" s="7"/>
      <c r="B460" s="7"/>
      <c r="C460" s="7"/>
      <c r="D460" s="7"/>
      <c r="E460" s="7"/>
    </row>
    <row r="461" ht="15.75" customHeight="1">
      <c r="A461" s="7"/>
      <c r="B461" s="7"/>
      <c r="C461" s="7"/>
      <c r="D461" s="7"/>
      <c r="E461" s="7"/>
    </row>
    <row r="462" ht="15.75" customHeight="1">
      <c r="A462" s="7"/>
      <c r="B462" s="7"/>
      <c r="C462" s="7"/>
      <c r="D462" s="7"/>
      <c r="E462" s="7"/>
    </row>
    <row r="463" ht="15.75" customHeight="1">
      <c r="A463" s="7"/>
      <c r="B463" s="7"/>
      <c r="C463" s="7"/>
      <c r="D463" s="7"/>
      <c r="E463" s="7"/>
    </row>
    <row r="464" ht="15.75" customHeight="1">
      <c r="A464" s="7"/>
      <c r="B464" s="7"/>
      <c r="C464" s="7"/>
      <c r="D464" s="7"/>
      <c r="E464" s="7"/>
    </row>
    <row r="465" ht="15.75" customHeight="1">
      <c r="A465" s="7"/>
      <c r="B465" s="7"/>
      <c r="C465" s="7"/>
      <c r="D465" s="7"/>
      <c r="E465" s="7"/>
    </row>
    <row r="466" ht="15.75" customHeight="1">
      <c r="A466" s="7"/>
      <c r="B466" s="7"/>
      <c r="C466" s="7"/>
      <c r="D466" s="7"/>
      <c r="E466" s="7"/>
    </row>
    <row r="467" ht="15.75" customHeight="1">
      <c r="A467" s="7"/>
      <c r="B467" s="7"/>
      <c r="C467" s="7"/>
      <c r="D467" s="7"/>
      <c r="E467" s="7"/>
    </row>
    <row r="468" ht="15.75" customHeight="1">
      <c r="A468" s="7"/>
      <c r="B468" s="7"/>
      <c r="C468" s="7"/>
      <c r="D468" s="7"/>
      <c r="E468" s="7"/>
    </row>
    <row r="469" ht="15.75" customHeight="1">
      <c r="A469" s="7"/>
      <c r="B469" s="7"/>
      <c r="C469" s="7"/>
      <c r="D469" s="7"/>
      <c r="E469" s="7"/>
    </row>
    <row r="470" ht="15.75" customHeight="1">
      <c r="A470" s="7"/>
      <c r="B470" s="7"/>
      <c r="C470" s="7"/>
      <c r="D470" s="7"/>
      <c r="E470" s="7"/>
    </row>
    <row r="471" ht="15.75" customHeight="1">
      <c r="A471" s="7"/>
      <c r="B471" s="7"/>
      <c r="C471" s="7"/>
      <c r="D471" s="7"/>
      <c r="E471" s="7"/>
    </row>
    <row r="472" ht="15.75" customHeight="1">
      <c r="A472" s="7"/>
      <c r="B472" s="7"/>
      <c r="C472" s="7"/>
      <c r="D472" s="7"/>
      <c r="E472" s="7"/>
    </row>
    <row r="473" ht="15.75" customHeight="1">
      <c r="A473" s="7"/>
      <c r="B473" s="7"/>
      <c r="C473" s="7"/>
      <c r="D473" s="7"/>
      <c r="E473" s="7"/>
    </row>
    <row r="474" ht="15.75" customHeight="1">
      <c r="A474" s="7"/>
      <c r="B474" s="7"/>
      <c r="C474" s="7"/>
      <c r="D474" s="7"/>
      <c r="E474" s="7"/>
    </row>
    <row r="475" ht="15.75" customHeight="1">
      <c r="A475" s="7"/>
      <c r="B475" s="7"/>
      <c r="C475" s="7"/>
      <c r="D475" s="7"/>
      <c r="E475" s="7"/>
    </row>
    <row r="476" ht="15.75" customHeight="1">
      <c r="A476" s="7"/>
      <c r="B476" s="7"/>
      <c r="C476" s="7"/>
      <c r="D476" s="7"/>
      <c r="E476" s="7"/>
    </row>
    <row r="477" ht="15.75" customHeight="1">
      <c r="A477" s="7"/>
      <c r="B477" s="7"/>
      <c r="C477" s="7"/>
      <c r="D477" s="7"/>
      <c r="E477" s="7"/>
    </row>
    <row r="478" ht="15.75" customHeight="1">
      <c r="A478" s="7"/>
      <c r="B478" s="7"/>
      <c r="C478" s="7"/>
      <c r="D478" s="7"/>
      <c r="E478" s="7"/>
    </row>
    <row r="479" ht="15.75" customHeight="1">
      <c r="A479" s="7"/>
      <c r="B479" s="7"/>
      <c r="C479" s="7"/>
      <c r="D479" s="7"/>
      <c r="E479" s="7"/>
    </row>
    <row r="480" ht="15.75" customHeight="1">
      <c r="A480" s="7"/>
      <c r="B480" s="7"/>
      <c r="C480" s="7"/>
      <c r="D480" s="7"/>
      <c r="E480" s="7"/>
    </row>
    <row r="481" ht="15.75" customHeight="1">
      <c r="A481" s="7"/>
      <c r="B481" s="7"/>
      <c r="C481" s="7"/>
      <c r="D481" s="7"/>
      <c r="E481" s="7"/>
    </row>
    <row r="482" ht="15.75" customHeight="1">
      <c r="A482" s="7"/>
      <c r="B482" s="7"/>
      <c r="C482" s="7"/>
      <c r="D482" s="7"/>
      <c r="E482" s="7"/>
    </row>
    <row r="483" ht="15.75" customHeight="1">
      <c r="A483" s="7"/>
      <c r="B483" s="7"/>
      <c r="C483" s="7"/>
      <c r="D483" s="7"/>
      <c r="E483" s="7"/>
    </row>
    <row r="484" ht="15.75" customHeight="1">
      <c r="A484" s="7"/>
      <c r="B484" s="7"/>
      <c r="C484" s="7"/>
      <c r="D484" s="7"/>
      <c r="E484" s="7"/>
    </row>
    <row r="485" ht="15.75" customHeight="1">
      <c r="A485" s="7"/>
      <c r="B485" s="7"/>
      <c r="C485" s="7"/>
      <c r="D485" s="7"/>
      <c r="E485" s="7"/>
    </row>
    <row r="486" ht="15.75" customHeight="1">
      <c r="A486" s="7"/>
      <c r="B486" s="7"/>
      <c r="C486" s="7"/>
      <c r="D486" s="7"/>
      <c r="E486" s="7"/>
    </row>
    <row r="487" ht="15.75" customHeight="1">
      <c r="A487" s="7"/>
      <c r="B487" s="7"/>
      <c r="C487" s="7"/>
      <c r="D487" s="7"/>
      <c r="E487" s="7"/>
    </row>
    <row r="488" ht="15.75" customHeight="1">
      <c r="A488" s="7"/>
      <c r="B488" s="7"/>
      <c r="C488" s="7"/>
      <c r="D488" s="7"/>
      <c r="E488" s="7"/>
    </row>
    <row r="489" ht="15.75" customHeight="1">
      <c r="A489" s="7"/>
      <c r="B489" s="7"/>
      <c r="C489" s="7"/>
      <c r="D489" s="7"/>
      <c r="E489" s="7"/>
    </row>
    <row r="490" ht="15.75" customHeight="1">
      <c r="A490" s="7"/>
      <c r="B490" s="7"/>
      <c r="C490" s="7"/>
      <c r="D490" s="7"/>
      <c r="E490" s="7"/>
    </row>
    <row r="491" ht="15.75" customHeight="1">
      <c r="A491" s="7"/>
      <c r="B491" s="7"/>
      <c r="C491" s="7"/>
      <c r="D491" s="7"/>
      <c r="E491" s="7"/>
    </row>
    <row r="492" ht="15.75" customHeight="1">
      <c r="A492" s="7"/>
      <c r="B492" s="7"/>
      <c r="C492" s="7"/>
      <c r="D492" s="7"/>
      <c r="E492" s="7"/>
    </row>
    <row r="493" ht="15.75" customHeight="1">
      <c r="A493" s="7"/>
      <c r="B493" s="7"/>
      <c r="C493" s="7"/>
      <c r="D493" s="7"/>
      <c r="E493" s="7"/>
    </row>
    <row r="494" ht="15.75" customHeight="1">
      <c r="A494" s="7"/>
      <c r="B494" s="7"/>
      <c r="C494" s="7"/>
      <c r="D494" s="7"/>
      <c r="E494" s="7"/>
    </row>
    <row r="495" ht="15.75" customHeight="1">
      <c r="A495" s="7"/>
      <c r="B495" s="7"/>
      <c r="C495" s="7"/>
      <c r="D495" s="7"/>
      <c r="E495" s="7"/>
    </row>
    <row r="496" ht="15.75" customHeight="1">
      <c r="A496" s="7"/>
      <c r="B496" s="7"/>
      <c r="C496" s="7"/>
      <c r="D496" s="7"/>
      <c r="E496" s="7"/>
    </row>
    <row r="497" ht="15.75" customHeight="1">
      <c r="A497" s="7"/>
      <c r="B497" s="7"/>
      <c r="C497" s="7"/>
      <c r="D497" s="7"/>
      <c r="E497" s="7"/>
    </row>
    <row r="498" ht="15.75" customHeight="1">
      <c r="A498" s="7"/>
      <c r="B498" s="7"/>
      <c r="C498" s="7"/>
      <c r="D498" s="7"/>
      <c r="E498" s="7"/>
    </row>
    <row r="499" ht="15.75" customHeight="1">
      <c r="A499" s="7"/>
      <c r="B499" s="7"/>
      <c r="C499" s="7"/>
      <c r="D499" s="7"/>
      <c r="E499" s="7"/>
    </row>
    <row r="500" ht="15.75" customHeight="1">
      <c r="A500" s="7"/>
      <c r="B500" s="7"/>
      <c r="C500" s="7"/>
      <c r="D500" s="7"/>
      <c r="E500" s="7"/>
    </row>
    <row r="501" ht="15.75" customHeight="1">
      <c r="A501" s="7"/>
      <c r="B501" s="7"/>
      <c r="C501" s="7"/>
      <c r="D501" s="7"/>
      <c r="E501" s="7"/>
    </row>
    <row r="502" ht="15.75" customHeight="1">
      <c r="A502" s="7"/>
      <c r="B502" s="7"/>
      <c r="C502" s="7"/>
      <c r="D502" s="7"/>
      <c r="E502" s="7"/>
    </row>
    <row r="503" ht="15.75" customHeight="1">
      <c r="A503" s="7"/>
      <c r="B503" s="7"/>
      <c r="C503" s="7"/>
      <c r="D503" s="7"/>
      <c r="E503" s="7"/>
    </row>
    <row r="504" ht="15.75" customHeight="1">
      <c r="A504" s="7"/>
      <c r="B504" s="7"/>
      <c r="C504" s="7"/>
      <c r="D504" s="7"/>
      <c r="E504" s="7"/>
    </row>
    <row r="505" ht="15.75" customHeight="1">
      <c r="A505" s="7"/>
      <c r="B505" s="7"/>
      <c r="C505" s="7"/>
      <c r="D505" s="7"/>
      <c r="E505" s="7"/>
    </row>
    <row r="506" ht="15.75" customHeight="1">
      <c r="A506" s="7"/>
      <c r="B506" s="7"/>
      <c r="C506" s="7"/>
      <c r="D506" s="7"/>
      <c r="E506" s="7"/>
    </row>
    <row r="507" ht="15.75" customHeight="1">
      <c r="A507" s="7"/>
      <c r="B507" s="7"/>
      <c r="C507" s="7"/>
      <c r="D507" s="7"/>
      <c r="E507" s="7"/>
    </row>
    <row r="508" ht="15.75" customHeight="1">
      <c r="A508" s="7"/>
      <c r="B508" s="7"/>
      <c r="C508" s="7"/>
      <c r="D508" s="7"/>
      <c r="E508" s="7"/>
    </row>
    <row r="509" ht="15.75" customHeight="1">
      <c r="A509" s="7"/>
      <c r="B509" s="7"/>
      <c r="C509" s="7"/>
      <c r="D509" s="7"/>
      <c r="E509" s="7"/>
    </row>
    <row r="510" ht="15.75" customHeight="1">
      <c r="A510" s="7"/>
      <c r="B510" s="7"/>
      <c r="C510" s="7"/>
      <c r="D510" s="7"/>
      <c r="E510" s="7"/>
    </row>
    <row r="511" ht="15.75" customHeight="1">
      <c r="A511" s="7"/>
      <c r="B511" s="7"/>
      <c r="C511" s="7"/>
      <c r="D511" s="7"/>
      <c r="E511" s="7"/>
    </row>
    <row r="512" ht="15.75" customHeight="1">
      <c r="A512" s="7"/>
      <c r="B512" s="7"/>
      <c r="C512" s="7"/>
      <c r="D512" s="7"/>
      <c r="E512" s="7"/>
    </row>
    <row r="513" ht="15.75" customHeight="1">
      <c r="A513" s="7"/>
      <c r="B513" s="7"/>
      <c r="C513" s="7"/>
      <c r="D513" s="7"/>
      <c r="E513" s="7"/>
    </row>
    <row r="514" ht="15.75" customHeight="1">
      <c r="A514" s="7"/>
      <c r="B514" s="7"/>
      <c r="C514" s="7"/>
      <c r="D514" s="7"/>
      <c r="E514" s="7"/>
    </row>
    <row r="515" ht="15.75" customHeight="1">
      <c r="A515" s="7"/>
      <c r="B515" s="7"/>
      <c r="C515" s="7"/>
      <c r="D515" s="7"/>
      <c r="E515" s="7"/>
    </row>
    <row r="516" ht="15.75" customHeight="1">
      <c r="A516" s="7"/>
      <c r="B516" s="7"/>
      <c r="C516" s="7"/>
      <c r="D516" s="7"/>
      <c r="E516" s="7"/>
    </row>
    <row r="517" ht="15.75" customHeight="1">
      <c r="A517" s="7"/>
      <c r="B517" s="7"/>
      <c r="C517" s="7"/>
      <c r="D517" s="7"/>
      <c r="E517" s="7"/>
    </row>
    <row r="518" ht="15.75" customHeight="1">
      <c r="A518" s="7"/>
      <c r="B518" s="7"/>
      <c r="C518" s="7"/>
      <c r="D518" s="7"/>
      <c r="E518" s="7"/>
    </row>
    <row r="519" ht="15.75" customHeight="1">
      <c r="A519" s="7"/>
      <c r="B519" s="7"/>
      <c r="C519" s="7"/>
      <c r="D519" s="7"/>
      <c r="E519" s="7"/>
    </row>
    <row r="520" ht="15.75" customHeight="1">
      <c r="A520" s="7"/>
      <c r="B520" s="7"/>
      <c r="C520" s="7"/>
      <c r="D520" s="7"/>
      <c r="E520" s="7"/>
    </row>
    <row r="521" ht="15.75" customHeight="1">
      <c r="A521" s="7"/>
      <c r="B521" s="7"/>
      <c r="C521" s="7"/>
      <c r="D521" s="7"/>
      <c r="E521" s="7"/>
    </row>
    <row r="522" ht="15.75" customHeight="1">
      <c r="A522" s="7"/>
      <c r="B522" s="7"/>
      <c r="C522" s="7"/>
      <c r="D522" s="7"/>
      <c r="E522" s="7"/>
    </row>
    <row r="523" ht="15.75" customHeight="1">
      <c r="A523" s="7"/>
      <c r="B523" s="7"/>
      <c r="C523" s="7"/>
      <c r="D523" s="7"/>
      <c r="E523" s="7"/>
    </row>
    <row r="524" ht="15.75" customHeight="1">
      <c r="A524" s="7"/>
      <c r="B524" s="7"/>
      <c r="C524" s="7"/>
      <c r="D524" s="7"/>
      <c r="E524" s="7"/>
    </row>
    <row r="525" ht="15.75" customHeight="1">
      <c r="A525" s="7"/>
      <c r="B525" s="7"/>
      <c r="C525" s="7"/>
      <c r="D525" s="7"/>
      <c r="E525" s="7"/>
    </row>
    <row r="526" ht="15.75" customHeight="1">
      <c r="A526" s="7"/>
      <c r="B526" s="7"/>
      <c r="C526" s="7"/>
      <c r="D526" s="7"/>
      <c r="E526" s="7"/>
    </row>
    <row r="527" ht="15.75" customHeight="1">
      <c r="A527" s="7"/>
      <c r="B527" s="7"/>
      <c r="C527" s="7"/>
      <c r="D527" s="7"/>
      <c r="E527" s="7"/>
    </row>
    <row r="528" ht="15.75" customHeight="1">
      <c r="A528" s="7"/>
      <c r="B528" s="7"/>
      <c r="C528" s="7"/>
      <c r="D528" s="7"/>
      <c r="E528" s="7"/>
    </row>
    <row r="529" ht="15.75" customHeight="1">
      <c r="A529" s="7"/>
      <c r="B529" s="7"/>
      <c r="C529" s="7"/>
      <c r="D529" s="7"/>
      <c r="E529" s="7"/>
    </row>
    <row r="530" ht="15.75" customHeight="1">
      <c r="A530" s="7"/>
      <c r="B530" s="7"/>
      <c r="C530" s="7"/>
      <c r="D530" s="7"/>
      <c r="E530" s="7"/>
    </row>
    <row r="531" ht="15.75" customHeight="1">
      <c r="A531" s="7"/>
      <c r="B531" s="7"/>
      <c r="C531" s="7"/>
      <c r="D531" s="7"/>
      <c r="E531" s="7"/>
    </row>
    <row r="532" ht="15.75" customHeight="1">
      <c r="A532" s="7"/>
      <c r="B532" s="7"/>
      <c r="C532" s="7"/>
      <c r="D532" s="7"/>
      <c r="E532" s="7"/>
    </row>
    <row r="533" ht="15.75" customHeight="1">
      <c r="A533" s="7"/>
      <c r="B533" s="7"/>
      <c r="C533" s="7"/>
      <c r="D533" s="7"/>
      <c r="E533" s="7"/>
    </row>
    <row r="534" ht="15.75" customHeight="1">
      <c r="A534" s="7"/>
      <c r="B534" s="7"/>
      <c r="C534" s="7"/>
      <c r="D534" s="7"/>
      <c r="E534" s="7"/>
    </row>
    <row r="535" ht="15.75" customHeight="1">
      <c r="A535" s="7"/>
      <c r="B535" s="7"/>
      <c r="C535" s="7"/>
      <c r="D535" s="7"/>
      <c r="E535" s="7"/>
    </row>
    <row r="536" ht="15.75" customHeight="1">
      <c r="A536" s="7"/>
      <c r="B536" s="7"/>
      <c r="C536" s="7"/>
      <c r="D536" s="7"/>
      <c r="E536" s="7"/>
    </row>
    <row r="537" ht="15.75" customHeight="1">
      <c r="A537" s="7"/>
      <c r="B537" s="7"/>
      <c r="C537" s="7"/>
      <c r="D537" s="7"/>
      <c r="E537" s="7"/>
    </row>
    <row r="538" ht="15.75" customHeight="1">
      <c r="A538" s="7"/>
      <c r="B538" s="7"/>
      <c r="C538" s="7"/>
      <c r="D538" s="7"/>
      <c r="E538" s="7"/>
    </row>
    <row r="539" ht="15.75" customHeight="1">
      <c r="A539" s="7"/>
      <c r="B539" s="7"/>
      <c r="C539" s="7"/>
      <c r="D539" s="7"/>
      <c r="E539" s="7"/>
    </row>
    <row r="540" ht="15.75" customHeight="1">
      <c r="A540" s="7"/>
      <c r="B540" s="7"/>
      <c r="C540" s="7"/>
      <c r="D540" s="7"/>
      <c r="E540" s="7"/>
    </row>
    <row r="541" ht="15.75" customHeight="1">
      <c r="A541" s="7"/>
      <c r="B541" s="7"/>
      <c r="C541" s="7"/>
      <c r="D541" s="7"/>
      <c r="E541" s="7"/>
    </row>
    <row r="542" ht="15.75" customHeight="1">
      <c r="A542" s="7"/>
      <c r="B542" s="7"/>
      <c r="C542" s="7"/>
      <c r="D542" s="7"/>
      <c r="E542" s="7"/>
    </row>
    <row r="543" ht="15.75" customHeight="1">
      <c r="A543" s="7"/>
      <c r="B543" s="7"/>
      <c r="C543" s="7"/>
      <c r="D543" s="7"/>
      <c r="E543" s="7"/>
    </row>
    <row r="544" ht="15.75" customHeight="1">
      <c r="A544" s="7"/>
      <c r="B544" s="7"/>
      <c r="C544" s="7"/>
      <c r="D544" s="7"/>
      <c r="E544" s="7"/>
    </row>
    <row r="545" ht="15.75" customHeight="1">
      <c r="A545" s="7"/>
      <c r="B545" s="7"/>
      <c r="C545" s="7"/>
      <c r="D545" s="7"/>
      <c r="E545" s="7"/>
    </row>
    <row r="546" ht="15.75" customHeight="1">
      <c r="A546" s="7"/>
      <c r="B546" s="7"/>
      <c r="C546" s="7"/>
      <c r="D546" s="7"/>
      <c r="E546" s="7"/>
    </row>
    <row r="547" ht="15.75" customHeight="1">
      <c r="A547" s="7"/>
      <c r="B547" s="7"/>
      <c r="C547" s="7"/>
      <c r="D547" s="7"/>
      <c r="E547" s="7"/>
    </row>
    <row r="548" ht="15.75" customHeight="1">
      <c r="A548" s="7"/>
      <c r="B548" s="7"/>
      <c r="C548" s="7"/>
      <c r="D548" s="7"/>
      <c r="E548" s="7"/>
    </row>
    <row r="549" ht="15.75" customHeight="1">
      <c r="A549" s="7"/>
      <c r="B549" s="7"/>
      <c r="C549" s="7"/>
      <c r="D549" s="7"/>
      <c r="E549" s="7"/>
    </row>
    <row r="550" ht="15.75" customHeight="1">
      <c r="A550" s="7"/>
      <c r="B550" s="7"/>
      <c r="C550" s="7"/>
      <c r="D550" s="7"/>
      <c r="E550" s="7"/>
    </row>
    <row r="551" ht="15.75" customHeight="1">
      <c r="A551" s="7"/>
      <c r="B551" s="7"/>
      <c r="C551" s="7"/>
      <c r="D551" s="7"/>
      <c r="E551" s="7"/>
    </row>
    <row r="552" ht="15.75" customHeight="1">
      <c r="A552" s="7"/>
      <c r="B552" s="7"/>
      <c r="C552" s="7"/>
      <c r="D552" s="7"/>
      <c r="E552" s="7"/>
    </row>
    <row r="553" ht="15.75" customHeight="1">
      <c r="A553" s="7"/>
      <c r="B553" s="7"/>
      <c r="C553" s="7"/>
      <c r="D553" s="7"/>
      <c r="E553" s="7"/>
    </row>
    <row r="554" ht="15.75" customHeight="1">
      <c r="A554" s="7"/>
      <c r="B554" s="7"/>
      <c r="C554" s="7"/>
      <c r="D554" s="7"/>
      <c r="E554" s="7"/>
    </row>
    <row r="555" ht="15.75" customHeight="1">
      <c r="A555" s="7"/>
      <c r="B555" s="7"/>
      <c r="C555" s="7"/>
      <c r="D555" s="7"/>
      <c r="E555" s="7"/>
    </row>
    <row r="556" ht="15.75" customHeight="1">
      <c r="A556" s="7"/>
      <c r="B556" s="7"/>
      <c r="C556" s="7"/>
      <c r="D556" s="7"/>
      <c r="E556" s="7"/>
    </row>
    <row r="557" ht="15.75" customHeight="1">
      <c r="A557" s="7"/>
      <c r="B557" s="7"/>
      <c r="C557" s="7"/>
      <c r="D557" s="7"/>
      <c r="E557" s="7"/>
    </row>
    <row r="558" ht="15.75" customHeight="1">
      <c r="A558" s="7"/>
      <c r="B558" s="7"/>
      <c r="C558" s="7"/>
      <c r="D558" s="7"/>
      <c r="E558" s="7"/>
    </row>
    <row r="559" ht="15.75" customHeight="1">
      <c r="A559" s="7"/>
      <c r="B559" s="7"/>
      <c r="C559" s="7"/>
      <c r="D559" s="7"/>
      <c r="E559" s="7"/>
    </row>
    <row r="560" ht="15.75" customHeight="1">
      <c r="A560" s="7"/>
      <c r="B560" s="7"/>
      <c r="C560" s="7"/>
      <c r="D560" s="7"/>
      <c r="E560" s="7"/>
    </row>
    <row r="561" ht="15.75" customHeight="1">
      <c r="A561" s="7"/>
      <c r="B561" s="7"/>
      <c r="C561" s="7"/>
      <c r="D561" s="7"/>
      <c r="E561" s="7"/>
    </row>
    <row r="562" ht="15.75" customHeight="1">
      <c r="A562" s="7"/>
      <c r="B562" s="7"/>
      <c r="C562" s="7"/>
      <c r="D562" s="7"/>
      <c r="E562" s="7"/>
    </row>
    <row r="563" ht="15.75" customHeight="1">
      <c r="A563" s="7"/>
      <c r="B563" s="7"/>
      <c r="C563" s="7"/>
      <c r="D563" s="7"/>
      <c r="E563" s="7"/>
    </row>
    <row r="564" ht="15.75" customHeight="1">
      <c r="A564" s="7"/>
      <c r="B564" s="7"/>
      <c r="C564" s="7"/>
      <c r="D564" s="7"/>
      <c r="E564" s="7"/>
    </row>
    <row r="565" ht="15.75" customHeight="1">
      <c r="A565" s="7"/>
      <c r="B565" s="7"/>
      <c r="C565" s="7"/>
      <c r="D565" s="7"/>
      <c r="E565" s="7"/>
    </row>
    <row r="566" ht="15.75" customHeight="1">
      <c r="A566" s="7"/>
      <c r="B566" s="7"/>
      <c r="C566" s="7"/>
      <c r="D566" s="7"/>
      <c r="E566" s="7"/>
    </row>
    <row r="567" ht="15.75" customHeight="1">
      <c r="A567" s="7"/>
      <c r="B567" s="7"/>
      <c r="C567" s="7"/>
      <c r="D567" s="7"/>
      <c r="E567" s="7"/>
    </row>
    <row r="568" ht="15.75" customHeight="1">
      <c r="A568" s="7"/>
      <c r="B568" s="7"/>
      <c r="C568" s="7"/>
      <c r="D568" s="7"/>
      <c r="E568" s="7"/>
    </row>
    <row r="569" ht="15.75" customHeight="1">
      <c r="A569" s="7"/>
      <c r="B569" s="7"/>
      <c r="C569" s="7"/>
      <c r="D569" s="7"/>
      <c r="E569" s="7"/>
    </row>
    <row r="570" ht="15.75" customHeight="1">
      <c r="A570" s="7"/>
      <c r="B570" s="7"/>
      <c r="C570" s="7"/>
      <c r="D570" s="7"/>
      <c r="E570" s="7"/>
    </row>
    <row r="571" ht="15.75" customHeight="1">
      <c r="A571" s="7"/>
      <c r="B571" s="7"/>
      <c r="C571" s="7"/>
      <c r="D571" s="7"/>
      <c r="E571" s="7"/>
    </row>
    <row r="572" ht="15.75" customHeight="1">
      <c r="A572" s="7"/>
      <c r="B572" s="7"/>
      <c r="C572" s="7"/>
      <c r="D572" s="7"/>
      <c r="E572" s="7"/>
    </row>
    <row r="573" ht="15.75" customHeight="1">
      <c r="A573" s="7"/>
      <c r="B573" s="7"/>
      <c r="C573" s="7"/>
      <c r="D573" s="7"/>
      <c r="E573" s="7"/>
    </row>
    <row r="574" ht="15.75" customHeight="1">
      <c r="A574" s="7"/>
      <c r="B574" s="7"/>
      <c r="C574" s="7"/>
      <c r="D574" s="7"/>
      <c r="E574" s="7"/>
    </row>
    <row r="575" ht="15.75" customHeight="1">
      <c r="A575" s="7"/>
      <c r="B575" s="7"/>
      <c r="C575" s="7"/>
      <c r="D575" s="7"/>
      <c r="E575" s="7"/>
    </row>
    <row r="576" ht="15.75" customHeight="1">
      <c r="A576" s="7"/>
      <c r="B576" s="7"/>
      <c r="C576" s="7"/>
      <c r="D576" s="7"/>
      <c r="E576" s="7"/>
    </row>
    <row r="577" ht="15.75" customHeight="1">
      <c r="A577" s="7"/>
      <c r="B577" s="7"/>
      <c r="C577" s="7"/>
      <c r="D577" s="7"/>
      <c r="E577" s="7"/>
    </row>
    <row r="578" ht="15.75" customHeight="1">
      <c r="A578" s="7"/>
      <c r="B578" s="7"/>
      <c r="C578" s="7"/>
      <c r="D578" s="7"/>
      <c r="E578" s="7"/>
    </row>
    <row r="579" ht="15.75" customHeight="1">
      <c r="A579" s="7"/>
      <c r="B579" s="7"/>
      <c r="C579" s="7"/>
      <c r="D579" s="7"/>
      <c r="E579" s="7"/>
    </row>
    <row r="580" ht="15.75" customHeight="1">
      <c r="A580" s="7"/>
      <c r="B580" s="7"/>
      <c r="C580" s="7"/>
      <c r="D580" s="7"/>
      <c r="E580" s="7"/>
    </row>
    <row r="581" ht="15.75" customHeight="1">
      <c r="A581" s="7"/>
      <c r="B581" s="7"/>
      <c r="C581" s="7"/>
      <c r="D581" s="7"/>
      <c r="E581" s="7"/>
    </row>
    <row r="582" ht="15.75" customHeight="1">
      <c r="A582" s="7"/>
      <c r="B582" s="7"/>
      <c r="C582" s="7"/>
      <c r="D582" s="7"/>
      <c r="E582" s="7"/>
    </row>
    <row r="583" ht="15.75" customHeight="1">
      <c r="A583" s="7"/>
      <c r="B583" s="7"/>
      <c r="C583" s="7"/>
      <c r="D583" s="7"/>
      <c r="E583" s="7"/>
    </row>
    <row r="584" ht="15.75" customHeight="1">
      <c r="A584" s="7"/>
      <c r="B584" s="7"/>
      <c r="C584" s="7"/>
      <c r="D584" s="7"/>
      <c r="E584" s="7"/>
    </row>
    <row r="585" ht="15.75" customHeight="1">
      <c r="A585" s="7"/>
      <c r="B585" s="7"/>
      <c r="C585" s="7"/>
      <c r="D585" s="7"/>
      <c r="E585" s="7"/>
    </row>
    <row r="586" ht="15.75" customHeight="1">
      <c r="A586" s="7"/>
      <c r="B586" s="7"/>
      <c r="C586" s="7"/>
      <c r="D586" s="7"/>
      <c r="E586" s="7"/>
    </row>
    <row r="587" ht="15.75" customHeight="1">
      <c r="A587" s="7"/>
      <c r="B587" s="7"/>
      <c r="C587" s="7"/>
      <c r="D587" s="7"/>
      <c r="E587" s="7"/>
    </row>
    <row r="588" ht="15.75" customHeight="1">
      <c r="A588" s="7"/>
      <c r="B588" s="7"/>
      <c r="C588" s="7"/>
      <c r="D588" s="7"/>
      <c r="E588" s="7"/>
    </row>
    <row r="589" ht="15.75" customHeight="1">
      <c r="A589" s="7"/>
      <c r="B589" s="7"/>
      <c r="C589" s="7"/>
      <c r="D589" s="7"/>
      <c r="E589" s="7"/>
    </row>
    <row r="590" ht="15.75" customHeight="1">
      <c r="A590" s="7"/>
      <c r="B590" s="7"/>
      <c r="C590" s="7"/>
      <c r="D590" s="7"/>
      <c r="E590" s="7"/>
    </row>
    <row r="591" ht="15.75" customHeight="1">
      <c r="A591" s="7"/>
      <c r="B591" s="7"/>
      <c r="C591" s="7"/>
      <c r="D591" s="7"/>
      <c r="E591" s="7"/>
    </row>
    <row r="592" ht="15.75" customHeight="1">
      <c r="A592" s="7"/>
      <c r="B592" s="7"/>
      <c r="C592" s="7"/>
      <c r="D592" s="7"/>
      <c r="E592" s="7"/>
    </row>
    <row r="593" ht="15.75" customHeight="1">
      <c r="A593" s="7"/>
      <c r="B593" s="7"/>
      <c r="C593" s="7"/>
      <c r="D593" s="7"/>
      <c r="E593" s="7"/>
    </row>
    <row r="594" ht="15.75" customHeight="1">
      <c r="A594" s="7"/>
      <c r="B594" s="7"/>
      <c r="C594" s="7"/>
      <c r="D594" s="7"/>
      <c r="E594" s="7"/>
    </row>
    <row r="595" ht="15.75" customHeight="1">
      <c r="A595" s="7"/>
      <c r="B595" s="7"/>
      <c r="C595" s="7"/>
      <c r="D595" s="7"/>
      <c r="E595" s="7"/>
    </row>
    <row r="596" ht="15.75" customHeight="1">
      <c r="A596" s="7"/>
      <c r="B596" s="7"/>
      <c r="C596" s="7"/>
      <c r="D596" s="7"/>
      <c r="E596" s="7"/>
    </row>
    <row r="597" ht="15.75" customHeight="1">
      <c r="A597" s="7"/>
      <c r="B597" s="7"/>
      <c r="C597" s="7"/>
      <c r="D597" s="7"/>
      <c r="E597" s="7"/>
    </row>
    <row r="598" ht="15.75" customHeight="1">
      <c r="A598" s="7"/>
      <c r="B598" s="7"/>
      <c r="C598" s="7"/>
      <c r="D598" s="7"/>
      <c r="E598" s="7"/>
    </row>
    <row r="599" ht="15.75" customHeight="1">
      <c r="A599" s="7"/>
      <c r="B599" s="7"/>
      <c r="C599" s="7"/>
      <c r="D599" s="7"/>
      <c r="E599" s="7"/>
    </row>
    <row r="600" ht="15.75" customHeight="1">
      <c r="A600" s="7"/>
      <c r="B600" s="7"/>
      <c r="C600" s="7"/>
      <c r="D600" s="7"/>
      <c r="E600" s="7"/>
    </row>
    <row r="601" ht="15.75" customHeight="1">
      <c r="A601" s="7"/>
      <c r="B601" s="7"/>
      <c r="C601" s="7"/>
      <c r="D601" s="7"/>
      <c r="E601" s="7"/>
    </row>
    <row r="602" ht="15.75" customHeight="1">
      <c r="A602" s="7"/>
      <c r="B602" s="7"/>
      <c r="C602" s="7"/>
      <c r="D602" s="7"/>
      <c r="E602" s="7"/>
    </row>
    <row r="603" ht="15.75" customHeight="1">
      <c r="A603" s="7"/>
      <c r="B603" s="7"/>
      <c r="C603" s="7"/>
      <c r="D603" s="7"/>
      <c r="E603" s="7"/>
    </row>
    <row r="604" ht="15.75" customHeight="1">
      <c r="A604" s="7"/>
      <c r="B604" s="7"/>
      <c r="C604" s="7"/>
      <c r="D604" s="7"/>
      <c r="E604" s="7"/>
    </row>
    <row r="605" ht="15.75" customHeight="1">
      <c r="A605" s="7"/>
      <c r="B605" s="7"/>
      <c r="C605" s="7"/>
      <c r="D605" s="7"/>
      <c r="E605" s="7"/>
    </row>
    <row r="606" ht="15.75" customHeight="1">
      <c r="A606" s="7"/>
      <c r="B606" s="7"/>
      <c r="C606" s="7"/>
      <c r="D606" s="7"/>
      <c r="E606" s="7"/>
    </row>
    <row r="607" ht="15.75" customHeight="1">
      <c r="A607" s="7"/>
      <c r="B607" s="7"/>
      <c r="C607" s="7"/>
      <c r="D607" s="7"/>
      <c r="E607" s="7"/>
    </row>
    <row r="608" ht="15.75" customHeight="1">
      <c r="A608" s="7"/>
      <c r="B608" s="7"/>
      <c r="C608" s="7"/>
      <c r="D608" s="7"/>
      <c r="E608" s="7"/>
    </row>
    <row r="609" ht="15.75" customHeight="1">
      <c r="A609" s="7"/>
      <c r="B609" s="7"/>
      <c r="C609" s="7"/>
      <c r="D609" s="7"/>
      <c r="E609" s="7"/>
    </row>
    <row r="610" ht="15.75" customHeight="1">
      <c r="A610" s="7"/>
      <c r="B610" s="7"/>
      <c r="C610" s="7"/>
      <c r="D610" s="7"/>
      <c r="E610" s="7"/>
    </row>
    <row r="611" ht="15.75" customHeight="1">
      <c r="A611" s="7"/>
      <c r="B611" s="7"/>
      <c r="C611" s="7"/>
      <c r="D611" s="7"/>
      <c r="E611" s="7"/>
    </row>
    <row r="612" ht="15.75" customHeight="1">
      <c r="A612" s="7"/>
      <c r="B612" s="7"/>
      <c r="C612" s="7"/>
      <c r="D612" s="7"/>
      <c r="E612" s="7"/>
    </row>
    <row r="613" ht="15.75" customHeight="1">
      <c r="A613" s="7"/>
      <c r="B613" s="7"/>
      <c r="C613" s="7"/>
      <c r="D613" s="7"/>
      <c r="E613" s="7"/>
    </row>
    <row r="614" ht="15.75" customHeight="1">
      <c r="A614" s="7"/>
      <c r="B614" s="7"/>
      <c r="C614" s="7"/>
      <c r="D614" s="7"/>
      <c r="E614" s="7"/>
    </row>
    <row r="615" ht="15.75" customHeight="1">
      <c r="A615" s="7"/>
      <c r="B615" s="7"/>
      <c r="C615" s="7"/>
      <c r="D615" s="7"/>
      <c r="E615" s="7"/>
    </row>
    <row r="616" ht="15.75" customHeight="1">
      <c r="A616" s="7"/>
      <c r="B616" s="7"/>
      <c r="C616" s="7"/>
      <c r="D616" s="7"/>
      <c r="E616" s="7"/>
    </row>
    <row r="617" ht="15.75" customHeight="1">
      <c r="A617" s="7"/>
      <c r="B617" s="7"/>
      <c r="C617" s="7"/>
      <c r="D617" s="7"/>
      <c r="E617" s="7"/>
    </row>
    <row r="618" ht="15.75" customHeight="1">
      <c r="A618" s="7"/>
      <c r="B618" s="7"/>
      <c r="C618" s="7"/>
      <c r="D618" s="7"/>
      <c r="E618" s="7"/>
    </row>
    <row r="619" ht="15.75" customHeight="1">
      <c r="A619" s="7"/>
      <c r="B619" s="7"/>
      <c r="C619" s="7"/>
      <c r="D619" s="7"/>
      <c r="E619" s="7"/>
    </row>
    <row r="620" ht="15.75" customHeight="1">
      <c r="A620" s="7"/>
      <c r="B620" s="7"/>
      <c r="C620" s="7"/>
      <c r="D620" s="7"/>
      <c r="E620" s="7"/>
    </row>
    <row r="621" ht="15.75" customHeight="1">
      <c r="A621" s="7"/>
      <c r="B621" s="7"/>
      <c r="C621" s="7"/>
      <c r="D621" s="7"/>
      <c r="E621" s="7"/>
    </row>
    <row r="622" ht="15.75" customHeight="1">
      <c r="A622" s="7"/>
      <c r="B622" s="7"/>
      <c r="C622" s="7"/>
      <c r="D622" s="7"/>
      <c r="E622" s="7"/>
    </row>
    <row r="623" ht="15.75" customHeight="1">
      <c r="A623" s="7"/>
      <c r="B623" s="7"/>
      <c r="C623" s="7"/>
      <c r="D623" s="7"/>
      <c r="E623" s="7"/>
    </row>
    <row r="624" ht="15.75" customHeight="1">
      <c r="A624" s="7"/>
      <c r="B624" s="7"/>
      <c r="C624" s="7"/>
      <c r="D624" s="7"/>
      <c r="E624" s="7"/>
    </row>
    <row r="625" ht="15.75" customHeight="1">
      <c r="A625" s="7"/>
      <c r="B625" s="7"/>
      <c r="C625" s="7"/>
      <c r="D625" s="7"/>
      <c r="E625" s="7"/>
    </row>
    <row r="626" ht="15.75" customHeight="1">
      <c r="A626" s="7"/>
      <c r="B626" s="7"/>
      <c r="C626" s="7"/>
      <c r="D626" s="7"/>
      <c r="E626" s="7"/>
    </row>
    <row r="627" ht="15.75" customHeight="1">
      <c r="A627" s="7"/>
      <c r="B627" s="7"/>
      <c r="C627" s="7"/>
      <c r="D627" s="7"/>
      <c r="E627" s="7"/>
    </row>
    <row r="628" ht="15.75" customHeight="1">
      <c r="A628" s="7"/>
      <c r="B628" s="7"/>
      <c r="C628" s="7"/>
      <c r="D628" s="7"/>
      <c r="E628" s="7"/>
    </row>
    <row r="629" ht="15.75" customHeight="1">
      <c r="A629" s="7"/>
      <c r="B629" s="7"/>
      <c r="C629" s="7"/>
      <c r="D629" s="7"/>
      <c r="E629" s="7"/>
    </row>
    <row r="630" ht="15.75" customHeight="1">
      <c r="A630" s="7"/>
      <c r="B630" s="7"/>
      <c r="C630" s="7"/>
      <c r="D630" s="7"/>
      <c r="E630" s="7"/>
    </row>
    <row r="631" ht="15.75" customHeight="1">
      <c r="A631" s="7"/>
      <c r="B631" s="7"/>
      <c r="C631" s="7"/>
      <c r="D631" s="7"/>
      <c r="E631" s="7"/>
    </row>
    <row r="632" ht="15.75" customHeight="1">
      <c r="A632" s="7"/>
      <c r="B632" s="7"/>
      <c r="C632" s="7"/>
      <c r="D632" s="7"/>
      <c r="E632" s="7"/>
    </row>
    <row r="633" ht="15.75" customHeight="1">
      <c r="A633" s="7"/>
      <c r="B633" s="7"/>
      <c r="C633" s="7"/>
      <c r="D633" s="7"/>
      <c r="E633" s="7"/>
    </row>
    <row r="634" ht="15.75" customHeight="1">
      <c r="A634" s="7"/>
      <c r="B634" s="7"/>
      <c r="C634" s="7"/>
      <c r="D634" s="7"/>
      <c r="E634" s="7"/>
    </row>
    <row r="635" ht="15.75" customHeight="1">
      <c r="A635" s="7"/>
      <c r="B635" s="7"/>
      <c r="C635" s="7"/>
      <c r="D635" s="7"/>
      <c r="E635" s="7"/>
    </row>
    <row r="636" ht="15.75" customHeight="1">
      <c r="A636" s="7"/>
      <c r="B636" s="7"/>
      <c r="C636" s="7"/>
      <c r="D636" s="7"/>
      <c r="E636" s="7"/>
    </row>
    <row r="637" ht="15.75" customHeight="1">
      <c r="A637" s="7"/>
      <c r="B637" s="7"/>
      <c r="C637" s="7"/>
      <c r="D637" s="7"/>
      <c r="E637" s="7"/>
    </row>
    <row r="638" ht="15.75" customHeight="1">
      <c r="A638" s="7"/>
      <c r="B638" s="7"/>
      <c r="C638" s="7"/>
      <c r="D638" s="7"/>
      <c r="E638" s="7"/>
    </row>
    <row r="639" ht="15.75" customHeight="1">
      <c r="A639" s="7"/>
      <c r="B639" s="7"/>
      <c r="C639" s="7"/>
      <c r="D639" s="7"/>
      <c r="E639" s="7"/>
    </row>
    <row r="640" ht="15.75" customHeight="1">
      <c r="A640" s="7"/>
      <c r="B640" s="7"/>
      <c r="C640" s="7"/>
      <c r="D640" s="7"/>
      <c r="E640" s="7"/>
    </row>
    <row r="641" ht="15.75" customHeight="1">
      <c r="A641" s="7"/>
      <c r="B641" s="7"/>
      <c r="C641" s="7"/>
      <c r="D641" s="7"/>
      <c r="E641" s="7"/>
    </row>
    <row r="642" ht="15.75" customHeight="1">
      <c r="A642" s="7"/>
      <c r="B642" s="7"/>
      <c r="C642" s="7"/>
      <c r="D642" s="7"/>
      <c r="E642" s="7"/>
    </row>
    <row r="643" ht="15.75" customHeight="1">
      <c r="A643" s="7"/>
      <c r="B643" s="7"/>
      <c r="C643" s="7"/>
      <c r="D643" s="7"/>
      <c r="E643" s="7"/>
    </row>
    <row r="644" ht="15.75" customHeight="1">
      <c r="A644" s="7"/>
      <c r="B644" s="7"/>
      <c r="C644" s="7"/>
      <c r="D644" s="7"/>
      <c r="E644" s="7"/>
    </row>
    <row r="645" ht="15.75" customHeight="1">
      <c r="A645" s="7"/>
      <c r="B645" s="7"/>
      <c r="C645" s="7"/>
      <c r="D645" s="7"/>
      <c r="E645" s="7"/>
    </row>
    <row r="646" ht="15.75" customHeight="1">
      <c r="A646" s="7"/>
      <c r="B646" s="7"/>
      <c r="C646" s="7"/>
      <c r="D646" s="7"/>
      <c r="E646" s="7"/>
    </row>
    <row r="647" ht="15.75" customHeight="1">
      <c r="A647" s="7"/>
      <c r="B647" s="7"/>
      <c r="C647" s="7"/>
      <c r="D647" s="7"/>
      <c r="E647" s="7"/>
    </row>
    <row r="648" ht="15.75" customHeight="1">
      <c r="A648" s="7"/>
      <c r="B648" s="7"/>
      <c r="C648" s="7"/>
      <c r="D648" s="7"/>
      <c r="E648" s="7"/>
    </row>
    <row r="649" ht="15.75" customHeight="1">
      <c r="A649" s="7"/>
      <c r="B649" s="7"/>
      <c r="C649" s="7"/>
      <c r="D649" s="7"/>
      <c r="E649" s="7"/>
    </row>
    <row r="650" ht="15.75" customHeight="1">
      <c r="A650" s="7"/>
      <c r="B650" s="7"/>
      <c r="C650" s="7"/>
      <c r="D650" s="7"/>
      <c r="E650" s="7"/>
    </row>
    <row r="651" ht="15.75" customHeight="1">
      <c r="A651" s="7"/>
      <c r="B651" s="7"/>
      <c r="C651" s="7"/>
      <c r="D651" s="7"/>
      <c r="E651" s="7"/>
    </row>
    <row r="652" ht="15.75" customHeight="1">
      <c r="A652" s="7"/>
      <c r="B652" s="7"/>
      <c r="C652" s="7"/>
      <c r="D652" s="7"/>
      <c r="E652" s="7"/>
    </row>
    <row r="653" ht="15.75" customHeight="1">
      <c r="A653" s="7"/>
      <c r="B653" s="7"/>
      <c r="C653" s="7"/>
      <c r="D653" s="7"/>
      <c r="E653" s="7"/>
    </row>
    <row r="654" ht="15.75" customHeight="1">
      <c r="A654" s="7"/>
      <c r="B654" s="7"/>
      <c r="C654" s="7"/>
      <c r="D654" s="7"/>
      <c r="E654" s="7"/>
    </row>
    <row r="655" ht="15.75" customHeight="1">
      <c r="A655" s="7"/>
      <c r="B655" s="7"/>
      <c r="C655" s="7"/>
      <c r="D655" s="7"/>
      <c r="E655" s="7"/>
    </row>
    <row r="656" ht="15.75" customHeight="1">
      <c r="A656" s="7"/>
      <c r="B656" s="7"/>
      <c r="C656" s="7"/>
      <c r="D656" s="7"/>
      <c r="E656" s="7"/>
    </row>
    <row r="657" ht="15.75" customHeight="1">
      <c r="A657" s="7"/>
      <c r="B657" s="7"/>
      <c r="C657" s="7"/>
      <c r="D657" s="7"/>
      <c r="E657" s="7"/>
    </row>
    <row r="658" ht="15.75" customHeight="1">
      <c r="A658" s="7"/>
      <c r="B658" s="7"/>
      <c r="C658" s="7"/>
      <c r="D658" s="7"/>
      <c r="E658" s="7"/>
    </row>
    <row r="659" ht="15.75" customHeight="1">
      <c r="A659" s="7"/>
      <c r="B659" s="7"/>
      <c r="C659" s="7"/>
      <c r="D659" s="7"/>
      <c r="E659" s="7"/>
    </row>
    <row r="660" ht="15.75" customHeight="1">
      <c r="A660" s="7"/>
      <c r="B660" s="7"/>
      <c r="C660" s="7"/>
      <c r="D660" s="7"/>
      <c r="E660" s="7"/>
    </row>
    <row r="661" ht="15.75" customHeight="1">
      <c r="A661" s="7"/>
      <c r="B661" s="7"/>
      <c r="C661" s="7"/>
      <c r="D661" s="7"/>
      <c r="E661" s="7"/>
    </row>
    <row r="662" ht="15.75" customHeight="1">
      <c r="A662" s="7"/>
      <c r="B662" s="7"/>
      <c r="C662" s="7"/>
      <c r="D662" s="7"/>
      <c r="E662" s="7"/>
    </row>
    <row r="663" ht="15.75" customHeight="1">
      <c r="A663" s="7"/>
      <c r="B663" s="7"/>
      <c r="C663" s="7"/>
      <c r="D663" s="7"/>
      <c r="E663" s="7"/>
    </row>
    <row r="664" ht="15.75" customHeight="1">
      <c r="A664" s="7"/>
      <c r="B664" s="7"/>
      <c r="C664" s="7"/>
      <c r="D664" s="7"/>
      <c r="E664" s="7"/>
    </row>
    <row r="665" ht="15.75" customHeight="1">
      <c r="A665" s="7"/>
      <c r="B665" s="7"/>
      <c r="C665" s="7"/>
      <c r="D665" s="7"/>
      <c r="E665" s="7"/>
    </row>
    <row r="666" ht="15.75" customHeight="1">
      <c r="A666" s="7"/>
      <c r="B666" s="7"/>
      <c r="C666" s="7"/>
      <c r="D666" s="7"/>
      <c r="E666" s="7"/>
    </row>
    <row r="667" ht="15.75" customHeight="1">
      <c r="A667" s="7"/>
      <c r="B667" s="7"/>
      <c r="C667" s="7"/>
      <c r="D667" s="7"/>
      <c r="E667" s="7"/>
    </row>
    <row r="668" ht="15.75" customHeight="1">
      <c r="A668" s="7"/>
      <c r="B668" s="7"/>
      <c r="C668" s="7"/>
      <c r="D668" s="7"/>
      <c r="E668" s="7"/>
    </row>
    <row r="669" ht="15.75" customHeight="1">
      <c r="A669" s="7"/>
      <c r="B669" s="7"/>
      <c r="C669" s="7"/>
      <c r="D669" s="7"/>
      <c r="E669" s="7"/>
    </row>
    <row r="670" ht="15.75" customHeight="1">
      <c r="A670" s="7"/>
      <c r="B670" s="7"/>
      <c r="C670" s="7"/>
      <c r="D670" s="7"/>
      <c r="E670" s="7"/>
    </row>
    <row r="671" ht="15.75" customHeight="1">
      <c r="A671" s="7"/>
      <c r="B671" s="7"/>
      <c r="C671" s="7"/>
      <c r="D671" s="7"/>
      <c r="E671" s="7"/>
    </row>
    <row r="672" ht="15.75" customHeight="1">
      <c r="A672" s="7"/>
      <c r="B672" s="7"/>
      <c r="C672" s="7"/>
      <c r="D672" s="7"/>
      <c r="E672" s="7"/>
    </row>
    <row r="673" ht="15.75" customHeight="1">
      <c r="A673" s="7"/>
      <c r="B673" s="7"/>
      <c r="C673" s="7"/>
      <c r="D673" s="7"/>
      <c r="E673" s="7"/>
    </row>
    <row r="674" ht="15.75" customHeight="1">
      <c r="A674" s="7"/>
      <c r="B674" s="7"/>
      <c r="C674" s="7"/>
      <c r="D674" s="7"/>
      <c r="E674" s="7"/>
    </row>
    <row r="675" ht="15.75" customHeight="1">
      <c r="A675" s="7"/>
      <c r="B675" s="7"/>
      <c r="C675" s="7"/>
      <c r="D675" s="7"/>
      <c r="E675" s="7"/>
    </row>
    <row r="676" ht="15.75" customHeight="1">
      <c r="A676" s="7"/>
      <c r="B676" s="7"/>
      <c r="C676" s="7"/>
      <c r="D676" s="7"/>
      <c r="E676" s="7"/>
    </row>
    <row r="677" ht="15.75" customHeight="1">
      <c r="A677" s="7"/>
      <c r="B677" s="7"/>
      <c r="C677" s="7"/>
      <c r="D677" s="7"/>
      <c r="E677" s="7"/>
    </row>
    <row r="678" ht="15.75" customHeight="1">
      <c r="A678" s="7"/>
      <c r="B678" s="7"/>
      <c r="C678" s="7"/>
      <c r="D678" s="7"/>
      <c r="E678" s="7"/>
    </row>
    <row r="679" ht="15.75" customHeight="1">
      <c r="A679" s="7"/>
      <c r="B679" s="7"/>
      <c r="C679" s="7"/>
      <c r="D679" s="7"/>
      <c r="E679" s="7"/>
    </row>
    <row r="680" ht="15.75" customHeight="1">
      <c r="A680" s="7"/>
      <c r="B680" s="7"/>
      <c r="C680" s="7"/>
      <c r="D680" s="7"/>
      <c r="E680" s="7"/>
    </row>
    <row r="681" ht="15.75" customHeight="1">
      <c r="A681" s="7"/>
      <c r="B681" s="7"/>
      <c r="C681" s="7"/>
      <c r="D681" s="7"/>
      <c r="E681" s="7"/>
    </row>
    <row r="682" ht="15.75" customHeight="1">
      <c r="A682" s="7"/>
      <c r="B682" s="7"/>
      <c r="C682" s="7"/>
      <c r="D682" s="7"/>
      <c r="E682" s="7"/>
    </row>
    <row r="683" ht="15.75" customHeight="1">
      <c r="A683" s="7"/>
      <c r="B683" s="7"/>
      <c r="C683" s="7"/>
      <c r="D683" s="7"/>
      <c r="E683" s="7"/>
    </row>
    <row r="684" ht="15.75" customHeight="1">
      <c r="A684" s="7"/>
      <c r="B684" s="7"/>
      <c r="C684" s="7"/>
      <c r="D684" s="7"/>
      <c r="E684" s="7"/>
    </row>
    <row r="685" ht="15.75" customHeight="1">
      <c r="A685" s="7"/>
      <c r="B685" s="7"/>
      <c r="C685" s="7"/>
      <c r="D685" s="7"/>
      <c r="E685" s="7"/>
    </row>
    <row r="686" ht="15.75" customHeight="1">
      <c r="A686" s="7"/>
      <c r="B686" s="7"/>
      <c r="C686" s="7"/>
      <c r="D686" s="7"/>
      <c r="E686" s="7"/>
    </row>
    <row r="687" ht="15.75" customHeight="1">
      <c r="A687" s="7"/>
      <c r="B687" s="7"/>
      <c r="C687" s="7"/>
      <c r="D687" s="7"/>
      <c r="E687" s="7"/>
    </row>
    <row r="688" ht="15.75" customHeight="1">
      <c r="A688" s="7"/>
      <c r="B688" s="7"/>
      <c r="C688" s="7"/>
      <c r="D688" s="7"/>
      <c r="E688" s="7"/>
    </row>
    <row r="689" ht="15.75" customHeight="1">
      <c r="A689" s="7"/>
      <c r="B689" s="7"/>
      <c r="C689" s="7"/>
      <c r="D689" s="7"/>
      <c r="E689" s="7"/>
    </row>
    <row r="690" ht="15.75" customHeight="1">
      <c r="A690" s="7"/>
      <c r="B690" s="7"/>
      <c r="C690" s="7"/>
      <c r="D690" s="7"/>
      <c r="E690" s="7"/>
    </row>
    <row r="691" ht="15.75" customHeight="1">
      <c r="A691" s="7"/>
      <c r="B691" s="7"/>
      <c r="C691" s="7"/>
      <c r="D691" s="7"/>
      <c r="E691" s="7"/>
    </row>
    <row r="692" ht="15.75" customHeight="1">
      <c r="A692" s="7"/>
      <c r="B692" s="7"/>
      <c r="C692" s="7"/>
      <c r="D692" s="7"/>
      <c r="E692" s="7"/>
    </row>
    <row r="693" ht="15.75" customHeight="1">
      <c r="A693" s="7"/>
      <c r="B693" s="7"/>
      <c r="C693" s="7"/>
      <c r="D693" s="7"/>
      <c r="E693" s="7"/>
    </row>
    <row r="694" ht="15.75" customHeight="1">
      <c r="A694" s="7"/>
      <c r="B694" s="7"/>
      <c r="C694" s="7"/>
      <c r="D694" s="7"/>
      <c r="E694" s="7"/>
    </row>
    <row r="695" ht="15.75" customHeight="1">
      <c r="A695" s="7"/>
      <c r="B695" s="7"/>
      <c r="C695" s="7"/>
      <c r="D695" s="7"/>
      <c r="E695" s="7"/>
    </row>
    <row r="696" ht="15.75" customHeight="1">
      <c r="A696" s="7"/>
      <c r="B696" s="7"/>
      <c r="C696" s="7"/>
      <c r="D696" s="7"/>
      <c r="E696" s="7"/>
    </row>
    <row r="697" ht="15.75" customHeight="1">
      <c r="A697" s="7"/>
      <c r="B697" s="7"/>
      <c r="C697" s="7"/>
      <c r="D697" s="7"/>
      <c r="E697" s="7"/>
    </row>
    <row r="698" ht="15.75" customHeight="1">
      <c r="A698" s="7"/>
      <c r="B698" s="7"/>
      <c r="C698" s="7"/>
      <c r="D698" s="7"/>
      <c r="E698" s="7"/>
    </row>
    <row r="699" ht="15.75" customHeight="1">
      <c r="A699" s="7"/>
      <c r="B699" s="7"/>
      <c r="C699" s="7"/>
      <c r="D699" s="7"/>
      <c r="E699" s="7"/>
    </row>
    <row r="700" ht="15.75" customHeight="1">
      <c r="A700" s="7"/>
      <c r="B700" s="7"/>
      <c r="C700" s="7"/>
      <c r="D700" s="7"/>
      <c r="E700" s="7"/>
    </row>
    <row r="701" ht="15.75" customHeight="1">
      <c r="A701" s="7"/>
      <c r="B701" s="7"/>
      <c r="C701" s="7"/>
      <c r="D701" s="7"/>
      <c r="E701" s="7"/>
    </row>
    <row r="702" ht="15.75" customHeight="1">
      <c r="A702" s="7"/>
      <c r="B702" s="7"/>
      <c r="C702" s="7"/>
      <c r="D702" s="7"/>
      <c r="E702" s="7"/>
    </row>
    <row r="703" ht="15.75" customHeight="1">
      <c r="A703" s="7"/>
      <c r="B703" s="7"/>
      <c r="C703" s="7"/>
      <c r="D703" s="7"/>
      <c r="E703" s="7"/>
    </row>
    <row r="704" ht="15.75" customHeight="1">
      <c r="A704" s="7"/>
      <c r="B704" s="7"/>
      <c r="C704" s="7"/>
      <c r="D704" s="7"/>
      <c r="E704" s="7"/>
    </row>
    <row r="705" ht="15.75" customHeight="1">
      <c r="A705" s="7"/>
      <c r="B705" s="7"/>
      <c r="C705" s="7"/>
      <c r="D705" s="7"/>
      <c r="E705" s="7"/>
    </row>
    <row r="706" ht="15.75" customHeight="1">
      <c r="A706" s="7"/>
      <c r="B706" s="7"/>
      <c r="C706" s="7"/>
      <c r="D706" s="7"/>
      <c r="E706" s="7"/>
    </row>
    <row r="707" ht="15.75" customHeight="1">
      <c r="A707" s="7"/>
      <c r="B707" s="7"/>
      <c r="C707" s="7"/>
      <c r="D707" s="7"/>
      <c r="E707" s="7"/>
    </row>
    <row r="708" ht="15.75" customHeight="1">
      <c r="A708" s="7"/>
      <c r="B708" s="7"/>
      <c r="C708" s="7"/>
      <c r="D708" s="7"/>
      <c r="E708" s="7"/>
    </row>
    <row r="709" ht="15.75" customHeight="1">
      <c r="A709" s="7"/>
      <c r="B709" s="7"/>
      <c r="C709" s="7"/>
      <c r="D709" s="7"/>
      <c r="E709" s="7"/>
    </row>
    <row r="710" ht="15.75" customHeight="1">
      <c r="A710" s="7"/>
      <c r="B710" s="7"/>
      <c r="C710" s="7"/>
      <c r="D710" s="7"/>
      <c r="E710" s="7"/>
    </row>
    <row r="711" ht="15.75" customHeight="1">
      <c r="A711" s="7"/>
      <c r="B711" s="7"/>
      <c r="C711" s="7"/>
      <c r="D711" s="7"/>
      <c r="E711" s="7"/>
    </row>
    <row r="712" ht="15.75" customHeight="1">
      <c r="A712" s="7"/>
      <c r="B712" s="7"/>
      <c r="C712" s="7"/>
      <c r="D712" s="7"/>
      <c r="E712" s="7"/>
    </row>
    <row r="713" ht="15.75" customHeight="1">
      <c r="A713" s="7"/>
      <c r="B713" s="7"/>
      <c r="C713" s="7"/>
      <c r="D713" s="7"/>
      <c r="E713" s="7"/>
    </row>
    <row r="714" ht="15.75" customHeight="1">
      <c r="A714" s="7"/>
      <c r="B714" s="7"/>
      <c r="C714" s="7"/>
      <c r="D714" s="7"/>
      <c r="E714" s="7"/>
    </row>
    <row r="715" ht="15.75" customHeight="1">
      <c r="A715" s="7"/>
      <c r="B715" s="7"/>
      <c r="C715" s="7"/>
      <c r="D715" s="7"/>
      <c r="E715" s="7"/>
    </row>
    <row r="716" ht="15.75" customHeight="1">
      <c r="A716" s="7"/>
      <c r="B716" s="7"/>
      <c r="C716" s="7"/>
      <c r="D716" s="7"/>
      <c r="E716" s="7"/>
    </row>
    <row r="717" ht="15.75" customHeight="1">
      <c r="A717" s="7"/>
      <c r="B717" s="7"/>
      <c r="C717" s="7"/>
      <c r="D717" s="7"/>
      <c r="E717" s="7"/>
    </row>
    <row r="718" ht="15.75" customHeight="1">
      <c r="A718" s="7"/>
      <c r="B718" s="7"/>
      <c r="C718" s="7"/>
      <c r="D718" s="7"/>
      <c r="E718" s="7"/>
    </row>
    <row r="719" ht="15.75" customHeight="1">
      <c r="A719" s="7"/>
      <c r="B719" s="7"/>
      <c r="C719" s="7"/>
      <c r="D719" s="7"/>
      <c r="E719" s="7"/>
    </row>
    <row r="720" ht="15.75" customHeight="1">
      <c r="A720" s="7"/>
      <c r="B720" s="7"/>
      <c r="C720" s="7"/>
      <c r="D720" s="7"/>
      <c r="E720" s="7"/>
    </row>
    <row r="721" ht="15.75" customHeight="1">
      <c r="A721" s="7"/>
      <c r="B721" s="7"/>
      <c r="C721" s="7"/>
      <c r="D721" s="7"/>
      <c r="E721" s="7"/>
    </row>
    <row r="722" ht="15.75" customHeight="1">
      <c r="A722" s="7"/>
      <c r="B722" s="7"/>
      <c r="C722" s="7"/>
      <c r="D722" s="7"/>
      <c r="E722" s="7"/>
    </row>
    <row r="723" ht="15.75" customHeight="1">
      <c r="A723" s="7"/>
      <c r="B723" s="7"/>
      <c r="C723" s="7"/>
      <c r="D723" s="7"/>
      <c r="E723" s="7"/>
    </row>
    <row r="724" ht="15.75" customHeight="1">
      <c r="A724" s="7"/>
      <c r="B724" s="7"/>
      <c r="C724" s="7"/>
      <c r="D724" s="7"/>
      <c r="E724" s="7"/>
    </row>
    <row r="725" ht="15.75" customHeight="1">
      <c r="A725" s="7"/>
      <c r="B725" s="7"/>
      <c r="C725" s="7"/>
      <c r="D725" s="7"/>
      <c r="E725" s="7"/>
    </row>
    <row r="726" ht="15.75" customHeight="1">
      <c r="A726" s="7"/>
      <c r="B726" s="7"/>
      <c r="C726" s="7"/>
      <c r="D726" s="7"/>
      <c r="E726" s="7"/>
    </row>
    <row r="727" ht="15.75" customHeight="1">
      <c r="A727" s="7"/>
      <c r="B727" s="7"/>
      <c r="C727" s="7"/>
      <c r="D727" s="7"/>
      <c r="E727" s="7"/>
    </row>
    <row r="728" ht="15.75" customHeight="1">
      <c r="A728" s="7"/>
      <c r="B728" s="7"/>
      <c r="C728" s="7"/>
      <c r="D728" s="7"/>
      <c r="E728" s="7"/>
    </row>
    <row r="729" ht="15.75" customHeight="1">
      <c r="A729" s="7"/>
      <c r="B729" s="7"/>
      <c r="C729" s="7"/>
      <c r="D729" s="7"/>
      <c r="E729" s="7"/>
    </row>
    <row r="730" ht="15.75" customHeight="1">
      <c r="A730" s="7"/>
      <c r="B730" s="7"/>
      <c r="C730" s="7"/>
      <c r="D730" s="7"/>
      <c r="E730" s="7"/>
    </row>
    <row r="731" ht="15.75" customHeight="1">
      <c r="A731" s="7"/>
      <c r="B731" s="7"/>
      <c r="C731" s="7"/>
      <c r="D731" s="7"/>
      <c r="E731" s="7"/>
    </row>
    <row r="732" ht="15.75" customHeight="1">
      <c r="A732" s="7"/>
      <c r="B732" s="7"/>
      <c r="C732" s="7"/>
      <c r="D732" s="7"/>
      <c r="E732" s="7"/>
    </row>
    <row r="733" ht="15.75" customHeight="1">
      <c r="A733" s="7"/>
      <c r="B733" s="7"/>
      <c r="C733" s="7"/>
      <c r="D733" s="7"/>
      <c r="E733" s="7"/>
    </row>
    <row r="734" ht="15.75" customHeight="1">
      <c r="A734" s="7"/>
      <c r="B734" s="7"/>
      <c r="C734" s="7"/>
      <c r="D734" s="7"/>
      <c r="E734" s="7"/>
    </row>
    <row r="735" ht="15.75" customHeight="1">
      <c r="A735" s="7"/>
      <c r="B735" s="7"/>
      <c r="C735" s="7"/>
      <c r="D735" s="7"/>
      <c r="E735" s="7"/>
    </row>
    <row r="736" ht="15.75" customHeight="1">
      <c r="A736" s="7"/>
      <c r="B736" s="7"/>
      <c r="C736" s="7"/>
      <c r="D736" s="7"/>
      <c r="E736" s="7"/>
    </row>
    <row r="737" ht="15.75" customHeight="1">
      <c r="A737" s="7"/>
      <c r="B737" s="7"/>
      <c r="C737" s="7"/>
      <c r="D737" s="7"/>
      <c r="E737" s="7"/>
    </row>
    <row r="738" ht="15.75" customHeight="1">
      <c r="A738" s="7"/>
      <c r="B738" s="7"/>
      <c r="C738" s="7"/>
      <c r="D738" s="7"/>
      <c r="E738" s="7"/>
    </row>
    <row r="739" ht="15.75" customHeight="1">
      <c r="A739" s="7"/>
      <c r="B739" s="7"/>
      <c r="C739" s="7"/>
      <c r="D739" s="7"/>
      <c r="E739" s="7"/>
    </row>
    <row r="740" ht="15.75" customHeight="1">
      <c r="A740" s="7"/>
      <c r="B740" s="7"/>
      <c r="C740" s="7"/>
      <c r="D740" s="7"/>
      <c r="E740" s="7"/>
    </row>
    <row r="741" ht="15.75" customHeight="1">
      <c r="A741" s="7"/>
      <c r="B741" s="7"/>
      <c r="C741" s="7"/>
      <c r="D741" s="7"/>
      <c r="E741" s="7"/>
    </row>
    <row r="742" ht="15.75" customHeight="1">
      <c r="A742" s="7"/>
      <c r="B742" s="7"/>
      <c r="C742" s="7"/>
      <c r="D742" s="7"/>
      <c r="E742" s="7"/>
    </row>
    <row r="743" ht="15.75" customHeight="1">
      <c r="A743" s="7"/>
      <c r="B743" s="7"/>
      <c r="C743" s="7"/>
      <c r="D743" s="7"/>
      <c r="E743" s="7"/>
    </row>
    <row r="744" ht="15.75" customHeight="1">
      <c r="A744" s="7"/>
      <c r="B744" s="7"/>
      <c r="C744" s="7"/>
      <c r="D744" s="7"/>
      <c r="E744" s="7"/>
    </row>
    <row r="745" ht="15.75" customHeight="1">
      <c r="A745" s="7"/>
      <c r="B745" s="7"/>
      <c r="C745" s="7"/>
      <c r="D745" s="7"/>
      <c r="E745" s="7"/>
    </row>
    <row r="746" ht="15.75" customHeight="1">
      <c r="A746" s="7"/>
      <c r="B746" s="7"/>
      <c r="C746" s="7"/>
      <c r="D746" s="7"/>
      <c r="E746" s="7"/>
    </row>
    <row r="747" ht="15.75" customHeight="1">
      <c r="A747" s="7"/>
      <c r="B747" s="7"/>
      <c r="C747" s="7"/>
      <c r="D747" s="7"/>
      <c r="E747" s="7"/>
    </row>
    <row r="748" ht="15.75" customHeight="1">
      <c r="A748" s="7"/>
      <c r="B748" s="7"/>
      <c r="C748" s="7"/>
      <c r="D748" s="7"/>
      <c r="E748" s="7"/>
    </row>
    <row r="749" ht="15.75" customHeight="1">
      <c r="A749" s="7"/>
      <c r="B749" s="7"/>
      <c r="C749" s="7"/>
      <c r="D749" s="7"/>
      <c r="E749" s="7"/>
    </row>
    <row r="750" ht="15.75" customHeight="1">
      <c r="A750" s="7"/>
      <c r="B750" s="7"/>
      <c r="C750" s="7"/>
      <c r="D750" s="7"/>
      <c r="E750" s="7"/>
    </row>
    <row r="751" ht="15.75" customHeight="1">
      <c r="A751" s="7"/>
      <c r="B751" s="7"/>
      <c r="C751" s="7"/>
      <c r="D751" s="7"/>
      <c r="E751" s="7"/>
    </row>
    <row r="752" ht="15.75" customHeight="1">
      <c r="A752" s="7"/>
      <c r="B752" s="7"/>
      <c r="C752" s="7"/>
      <c r="D752" s="7"/>
      <c r="E752" s="7"/>
    </row>
    <row r="753" ht="15.75" customHeight="1">
      <c r="A753" s="7"/>
      <c r="B753" s="7"/>
      <c r="C753" s="7"/>
      <c r="D753" s="7"/>
      <c r="E753" s="7"/>
    </row>
    <row r="754" ht="15.75" customHeight="1">
      <c r="A754" s="7"/>
      <c r="B754" s="7"/>
      <c r="C754" s="7"/>
      <c r="D754" s="7"/>
      <c r="E754" s="7"/>
    </row>
    <row r="755" ht="15.75" customHeight="1">
      <c r="A755" s="7"/>
      <c r="B755" s="7"/>
      <c r="C755" s="7"/>
      <c r="D755" s="7"/>
      <c r="E755" s="7"/>
    </row>
    <row r="756" ht="15.75" customHeight="1">
      <c r="A756" s="7"/>
      <c r="B756" s="7"/>
      <c r="C756" s="7"/>
      <c r="D756" s="7"/>
      <c r="E756" s="7"/>
    </row>
    <row r="757" ht="15.75" customHeight="1">
      <c r="A757" s="7"/>
      <c r="B757" s="7"/>
      <c r="C757" s="7"/>
      <c r="D757" s="7"/>
      <c r="E757" s="7"/>
    </row>
    <row r="758" ht="15.75" customHeight="1">
      <c r="A758" s="7"/>
      <c r="B758" s="7"/>
      <c r="C758" s="7"/>
      <c r="D758" s="7"/>
      <c r="E758" s="7"/>
    </row>
    <row r="759" ht="15.75" customHeight="1">
      <c r="A759" s="7"/>
      <c r="B759" s="7"/>
      <c r="C759" s="7"/>
      <c r="D759" s="7"/>
      <c r="E759" s="7"/>
    </row>
    <row r="760" ht="15.75" customHeight="1">
      <c r="A760" s="7"/>
      <c r="B760" s="7"/>
      <c r="C760" s="7"/>
      <c r="D760" s="7"/>
      <c r="E760" s="7"/>
    </row>
    <row r="761" ht="15.75" customHeight="1">
      <c r="A761" s="7"/>
      <c r="B761" s="7"/>
      <c r="C761" s="7"/>
      <c r="D761" s="7"/>
      <c r="E761" s="7"/>
    </row>
    <row r="762" ht="15.75" customHeight="1">
      <c r="A762" s="7"/>
      <c r="B762" s="7"/>
      <c r="C762" s="7"/>
      <c r="D762" s="7"/>
      <c r="E762" s="7"/>
    </row>
    <row r="763" ht="15.75" customHeight="1">
      <c r="A763" s="7"/>
      <c r="B763" s="7"/>
      <c r="C763" s="7"/>
      <c r="D763" s="7"/>
      <c r="E763" s="7"/>
    </row>
    <row r="764" ht="15.75" customHeight="1">
      <c r="A764" s="7"/>
      <c r="B764" s="7"/>
      <c r="C764" s="7"/>
      <c r="D764" s="7"/>
      <c r="E764" s="7"/>
    </row>
    <row r="765" ht="15.75" customHeight="1">
      <c r="A765" s="7"/>
      <c r="B765" s="7"/>
      <c r="C765" s="7"/>
      <c r="D765" s="7"/>
      <c r="E765" s="7"/>
    </row>
    <row r="766" ht="15.75" customHeight="1">
      <c r="A766" s="7"/>
      <c r="B766" s="7"/>
      <c r="C766" s="7"/>
      <c r="D766" s="7"/>
      <c r="E766" s="7"/>
    </row>
    <row r="767" ht="15.75" customHeight="1">
      <c r="A767" s="7"/>
      <c r="B767" s="7"/>
      <c r="C767" s="7"/>
      <c r="D767" s="7"/>
      <c r="E767" s="7"/>
    </row>
    <row r="768" ht="15.75" customHeight="1">
      <c r="A768" s="7"/>
      <c r="B768" s="7"/>
      <c r="C768" s="7"/>
      <c r="D768" s="7"/>
      <c r="E768" s="7"/>
    </row>
    <row r="769" ht="15.75" customHeight="1">
      <c r="A769" s="7"/>
      <c r="B769" s="7"/>
      <c r="C769" s="7"/>
      <c r="D769" s="7"/>
      <c r="E769" s="7"/>
    </row>
    <row r="770" ht="15.75" customHeight="1">
      <c r="A770" s="7"/>
      <c r="B770" s="7"/>
      <c r="C770" s="7"/>
      <c r="D770" s="7"/>
      <c r="E770" s="7"/>
    </row>
    <row r="771" ht="15.75" customHeight="1">
      <c r="A771" s="7"/>
      <c r="B771" s="7"/>
      <c r="C771" s="7"/>
      <c r="D771" s="7"/>
      <c r="E771" s="7"/>
    </row>
    <row r="772" ht="15.75" customHeight="1">
      <c r="A772" s="7"/>
      <c r="B772" s="7"/>
      <c r="C772" s="7"/>
      <c r="D772" s="7"/>
      <c r="E772" s="7"/>
    </row>
    <row r="773" ht="15.75" customHeight="1">
      <c r="A773" s="7"/>
      <c r="B773" s="7"/>
      <c r="C773" s="7"/>
      <c r="D773" s="7"/>
      <c r="E773" s="7"/>
    </row>
    <row r="774" ht="15.75" customHeight="1">
      <c r="A774" s="7"/>
      <c r="B774" s="7"/>
      <c r="C774" s="7"/>
      <c r="D774" s="7"/>
      <c r="E774" s="7"/>
    </row>
    <row r="775" ht="15.75" customHeight="1">
      <c r="A775" s="7"/>
      <c r="B775" s="7"/>
      <c r="C775" s="7"/>
      <c r="D775" s="7"/>
      <c r="E775" s="7"/>
    </row>
    <row r="776" ht="15.75" customHeight="1">
      <c r="A776" s="7"/>
      <c r="B776" s="7"/>
      <c r="C776" s="7"/>
      <c r="D776" s="7"/>
      <c r="E776" s="7"/>
    </row>
    <row r="777" ht="15.75" customHeight="1">
      <c r="A777" s="7"/>
      <c r="B777" s="7"/>
      <c r="C777" s="7"/>
      <c r="D777" s="7"/>
      <c r="E777" s="7"/>
    </row>
    <row r="778" ht="15.75" customHeight="1">
      <c r="A778" s="7"/>
      <c r="B778" s="7"/>
      <c r="C778" s="7"/>
      <c r="D778" s="7"/>
      <c r="E778" s="7"/>
    </row>
    <row r="779" ht="15.75" customHeight="1">
      <c r="A779" s="7"/>
      <c r="B779" s="7"/>
      <c r="C779" s="7"/>
      <c r="D779" s="7"/>
      <c r="E779" s="7"/>
    </row>
    <row r="780" ht="15.75" customHeight="1">
      <c r="A780" s="7"/>
      <c r="B780" s="7"/>
      <c r="C780" s="7"/>
      <c r="D780" s="7"/>
      <c r="E780" s="7"/>
    </row>
    <row r="781" ht="15.75" customHeight="1">
      <c r="A781" s="7"/>
      <c r="B781" s="7"/>
      <c r="C781" s="7"/>
      <c r="D781" s="7"/>
      <c r="E781" s="7"/>
    </row>
    <row r="782" ht="15.75" customHeight="1">
      <c r="A782" s="7"/>
      <c r="B782" s="7"/>
      <c r="C782" s="7"/>
      <c r="D782" s="7"/>
      <c r="E782" s="7"/>
    </row>
    <row r="783" ht="15.75" customHeight="1">
      <c r="A783" s="7"/>
      <c r="B783" s="7"/>
      <c r="C783" s="7"/>
      <c r="D783" s="7"/>
      <c r="E783" s="7"/>
    </row>
    <row r="784" ht="15.75" customHeight="1">
      <c r="A784" s="7"/>
      <c r="B784" s="7"/>
      <c r="C784" s="7"/>
      <c r="D784" s="7"/>
      <c r="E784" s="7"/>
    </row>
    <row r="785" ht="15.75" customHeight="1">
      <c r="A785" s="7"/>
      <c r="B785" s="7"/>
      <c r="C785" s="7"/>
      <c r="D785" s="7"/>
      <c r="E785" s="7"/>
    </row>
    <row r="786" ht="15.75" customHeight="1">
      <c r="A786" s="7"/>
      <c r="B786" s="7"/>
      <c r="C786" s="7"/>
      <c r="D786" s="7"/>
      <c r="E786" s="7"/>
    </row>
    <row r="787" ht="15.75" customHeight="1">
      <c r="A787" s="7"/>
      <c r="B787" s="7"/>
      <c r="C787" s="7"/>
      <c r="D787" s="7"/>
      <c r="E787" s="7"/>
    </row>
    <row r="788" ht="15.75" customHeight="1">
      <c r="A788" s="7"/>
      <c r="B788" s="7"/>
      <c r="C788" s="7"/>
      <c r="D788" s="7"/>
      <c r="E788" s="7"/>
    </row>
    <row r="789" ht="15.75" customHeight="1">
      <c r="A789" s="7"/>
      <c r="B789" s="7"/>
      <c r="C789" s="7"/>
      <c r="D789" s="7"/>
      <c r="E789" s="7"/>
    </row>
    <row r="790" ht="15.75" customHeight="1">
      <c r="A790" s="7"/>
      <c r="B790" s="7"/>
      <c r="C790" s="7"/>
      <c r="D790" s="7"/>
      <c r="E790" s="7"/>
    </row>
    <row r="791" ht="15.75" customHeight="1">
      <c r="A791" s="7"/>
      <c r="B791" s="7"/>
      <c r="C791" s="7"/>
      <c r="D791" s="7"/>
      <c r="E791" s="7"/>
    </row>
    <row r="792" ht="15.75" customHeight="1">
      <c r="A792" s="7"/>
      <c r="B792" s="7"/>
      <c r="C792" s="7"/>
      <c r="D792" s="7"/>
      <c r="E792" s="7"/>
    </row>
    <row r="793" ht="15.75" customHeight="1">
      <c r="A793" s="7"/>
      <c r="B793" s="7"/>
      <c r="C793" s="7"/>
      <c r="D793" s="7"/>
      <c r="E793" s="7"/>
    </row>
    <row r="794" ht="15.75" customHeight="1">
      <c r="A794" s="7"/>
      <c r="B794" s="7"/>
      <c r="C794" s="7"/>
      <c r="D794" s="7"/>
      <c r="E794" s="7"/>
    </row>
    <row r="795" ht="15.75" customHeight="1">
      <c r="A795" s="7"/>
      <c r="B795" s="7"/>
      <c r="C795" s="7"/>
      <c r="D795" s="7"/>
      <c r="E795" s="7"/>
    </row>
    <row r="796" ht="15.75" customHeight="1">
      <c r="A796" s="7"/>
      <c r="B796" s="7"/>
      <c r="C796" s="7"/>
      <c r="D796" s="7"/>
      <c r="E796" s="7"/>
    </row>
    <row r="797" ht="15.75" customHeight="1">
      <c r="A797" s="7"/>
      <c r="B797" s="7"/>
      <c r="C797" s="7"/>
      <c r="D797" s="7"/>
      <c r="E797" s="7"/>
    </row>
    <row r="798" ht="15.75" customHeight="1">
      <c r="A798" s="7"/>
      <c r="B798" s="7"/>
      <c r="C798" s="7"/>
      <c r="D798" s="7"/>
      <c r="E798" s="7"/>
    </row>
    <row r="799" ht="15.75" customHeight="1">
      <c r="A799" s="7"/>
      <c r="B799" s="7"/>
      <c r="C799" s="7"/>
      <c r="D799" s="7"/>
      <c r="E799" s="7"/>
    </row>
    <row r="800" ht="15.75" customHeight="1">
      <c r="A800" s="7"/>
      <c r="B800" s="7"/>
      <c r="C800" s="7"/>
      <c r="D800" s="7"/>
      <c r="E800" s="7"/>
    </row>
    <row r="801" ht="15.75" customHeight="1">
      <c r="A801" s="7"/>
      <c r="B801" s="7"/>
      <c r="C801" s="7"/>
      <c r="D801" s="7"/>
      <c r="E801" s="7"/>
    </row>
    <row r="802" ht="15.75" customHeight="1">
      <c r="A802" s="7"/>
      <c r="B802" s="7"/>
      <c r="C802" s="7"/>
      <c r="D802" s="7"/>
      <c r="E802" s="7"/>
    </row>
    <row r="803" ht="15.75" customHeight="1">
      <c r="A803" s="7"/>
      <c r="B803" s="7"/>
      <c r="C803" s="7"/>
      <c r="D803" s="7"/>
      <c r="E803" s="7"/>
    </row>
    <row r="804" ht="15.75" customHeight="1">
      <c r="A804" s="7"/>
      <c r="B804" s="7"/>
      <c r="C804" s="7"/>
      <c r="D804" s="7"/>
      <c r="E804" s="7"/>
    </row>
    <row r="805" ht="15.75" customHeight="1">
      <c r="A805" s="7"/>
      <c r="B805" s="7"/>
      <c r="C805" s="7"/>
      <c r="D805" s="7"/>
      <c r="E805" s="7"/>
    </row>
    <row r="806" ht="15.75" customHeight="1">
      <c r="A806" s="7"/>
      <c r="B806" s="7"/>
      <c r="C806" s="7"/>
      <c r="D806" s="7"/>
      <c r="E806" s="7"/>
    </row>
    <row r="807" ht="15.75" customHeight="1">
      <c r="A807" s="7"/>
      <c r="B807" s="7"/>
      <c r="C807" s="7"/>
      <c r="D807" s="7"/>
      <c r="E807" s="7"/>
    </row>
    <row r="808" ht="15.75" customHeight="1">
      <c r="A808" s="7"/>
      <c r="B808" s="7"/>
      <c r="C808" s="7"/>
      <c r="D808" s="7"/>
      <c r="E808" s="7"/>
    </row>
    <row r="809" ht="15.75" customHeight="1">
      <c r="A809" s="7"/>
      <c r="B809" s="7"/>
      <c r="C809" s="7"/>
      <c r="D809" s="7"/>
      <c r="E809" s="7"/>
    </row>
    <row r="810" ht="15.75" customHeight="1">
      <c r="A810" s="7"/>
      <c r="B810" s="7"/>
      <c r="C810" s="7"/>
      <c r="D810" s="7"/>
      <c r="E810" s="7"/>
    </row>
    <row r="811" ht="15.75" customHeight="1">
      <c r="A811" s="7"/>
      <c r="B811" s="7"/>
      <c r="C811" s="7"/>
      <c r="D811" s="7"/>
      <c r="E811" s="7"/>
    </row>
    <row r="812" ht="15.75" customHeight="1">
      <c r="A812" s="7"/>
      <c r="B812" s="7"/>
      <c r="C812" s="7"/>
      <c r="D812" s="7"/>
      <c r="E812" s="7"/>
    </row>
    <row r="813" ht="15.75" customHeight="1">
      <c r="A813" s="7"/>
      <c r="B813" s="7"/>
      <c r="C813" s="7"/>
      <c r="D813" s="7"/>
      <c r="E813" s="7"/>
    </row>
    <row r="814" ht="15.75" customHeight="1">
      <c r="A814" s="7"/>
      <c r="B814" s="7"/>
      <c r="C814" s="7"/>
      <c r="D814" s="7"/>
      <c r="E814" s="7"/>
    </row>
    <row r="815" ht="15.75" customHeight="1">
      <c r="A815" s="7"/>
      <c r="B815" s="7"/>
      <c r="C815" s="7"/>
      <c r="D815" s="7"/>
      <c r="E815" s="7"/>
    </row>
    <row r="816" ht="15.75" customHeight="1">
      <c r="A816" s="7"/>
      <c r="B816" s="7"/>
      <c r="C816" s="7"/>
      <c r="D816" s="7"/>
      <c r="E816" s="7"/>
    </row>
    <row r="817" ht="15.75" customHeight="1">
      <c r="A817" s="7"/>
      <c r="B817" s="7"/>
      <c r="C817" s="7"/>
      <c r="D817" s="7"/>
      <c r="E817" s="7"/>
    </row>
    <row r="818" ht="15.75" customHeight="1">
      <c r="A818" s="7"/>
      <c r="B818" s="7"/>
      <c r="C818" s="7"/>
      <c r="D818" s="7"/>
      <c r="E818" s="7"/>
    </row>
    <row r="819" ht="15.75" customHeight="1">
      <c r="A819" s="7"/>
      <c r="B819" s="7"/>
      <c r="C819" s="7"/>
      <c r="D819" s="7"/>
      <c r="E819" s="7"/>
    </row>
    <row r="820" ht="15.75" customHeight="1">
      <c r="A820" s="7"/>
      <c r="B820" s="7"/>
      <c r="C820" s="7"/>
      <c r="D820" s="7"/>
      <c r="E820" s="7"/>
    </row>
    <row r="821" ht="15.75" customHeight="1">
      <c r="A821" s="7"/>
      <c r="B821" s="7"/>
      <c r="C821" s="7"/>
      <c r="D821" s="7"/>
      <c r="E821" s="7"/>
    </row>
    <row r="822" ht="15.75" customHeight="1">
      <c r="A822" s="7"/>
      <c r="B822" s="7"/>
      <c r="C822" s="7"/>
      <c r="D822" s="7"/>
      <c r="E822" s="7"/>
    </row>
    <row r="823" ht="15.75" customHeight="1">
      <c r="A823" s="7"/>
      <c r="B823" s="7"/>
      <c r="C823" s="7"/>
      <c r="D823" s="7"/>
      <c r="E823" s="7"/>
    </row>
    <row r="824" ht="15.75" customHeight="1">
      <c r="A824" s="7"/>
      <c r="B824" s="7"/>
      <c r="C824" s="7"/>
      <c r="D824" s="7"/>
      <c r="E824" s="7"/>
    </row>
    <row r="825" ht="15.75" customHeight="1">
      <c r="A825" s="7"/>
      <c r="B825" s="7"/>
      <c r="C825" s="7"/>
      <c r="D825" s="7"/>
      <c r="E825" s="7"/>
    </row>
    <row r="826" ht="15.75" customHeight="1">
      <c r="A826" s="7"/>
      <c r="B826" s="7"/>
      <c r="C826" s="7"/>
      <c r="D826" s="7"/>
      <c r="E826" s="7"/>
    </row>
    <row r="827" ht="15.75" customHeight="1">
      <c r="A827" s="7"/>
      <c r="B827" s="7"/>
      <c r="C827" s="7"/>
      <c r="D827" s="7"/>
      <c r="E827" s="7"/>
    </row>
    <row r="828" ht="15.75" customHeight="1">
      <c r="A828" s="7"/>
      <c r="B828" s="7"/>
      <c r="C828" s="7"/>
      <c r="D828" s="7"/>
      <c r="E828" s="7"/>
    </row>
    <row r="829" ht="15.75" customHeight="1">
      <c r="A829" s="7"/>
      <c r="B829" s="7"/>
      <c r="C829" s="7"/>
      <c r="D829" s="7"/>
      <c r="E829" s="7"/>
    </row>
    <row r="830" ht="15.75" customHeight="1">
      <c r="A830" s="7"/>
      <c r="B830" s="7"/>
      <c r="C830" s="7"/>
      <c r="D830" s="7"/>
      <c r="E830" s="7"/>
    </row>
    <row r="831" ht="15.75" customHeight="1">
      <c r="A831" s="7"/>
      <c r="B831" s="7"/>
      <c r="C831" s="7"/>
      <c r="D831" s="7"/>
      <c r="E831" s="7"/>
    </row>
    <row r="832" ht="15.75" customHeight="1">
      <c r="A832" s="7"/>
      <c r="B832" s="7"/>
      <c r="C832" s="7"/>
      <c r="D832" s="7"/>
      <c r="E832" s="7"/>
    </row>
    <row r="833" ht="15.75" customHeight="1">
      <c r="A833" s="7"/>
      <c r="B833" s="7"/>
      <c r="C833" s="7"/>
      <c r="D833" s="7"/>
      <c r="E833" s="7"/>
    </row>
    <row r="834" ht="15.75" customHeight="1">
      <c r="A834" s="7"/>
      <c r="B834" s="7"/>
      <c r="C834" s="7"/>
      <c r="D834" s="7"/>
      <c r="E834" s="7"/>
    </row>
    <row r="835" ht="15.75" customHeight="1">
      <c r="A835" s="7"/>
      <c r="B835" s="7"/>
      <c r="C835" s="7"/>
      <c r="D835" s="7"/>
      <c r="E835" s="7"/>
    </row>
    <row r="836" ht="15.75" customHeight="1">
      <c r="A836" s="7"/>
      <c r="B836" s="7"/>
      <c r="C836" s="7"/>
      <c r="D836" s="7"/>
      <c r="E836" s="7"/>
    </row>
    <row r="837" ht="15.75" customHeight="1">
      <c r="A837" s="7"/>
      <c r="B837" s="7"/>
      <c r="C837" s="7"/>
      <c r="D837" s="7"/>
      <c r="E837" s="7"/>
    </row>
    <row r="838" ht="15.75" customHeight="1">
      <c r="A838" s="7"/>
      <c r="B838" s="7"/>
      <c r="C838" s="7"/>
      <c r="D838" s="7"/>
      <c r="E838" s="7"/>
    </row>
    <row r="839" ht="15.75" customHeight="1">
      <c r="A839" s="7"/>
      <c r="B839" s="7"/>
      <c r="C839" s="7"/>
      <c r="D839" s="7"/>
      <c r="E839" s="7"/>
    </row>
    <row r="840" ht="15.75" customHeight="1">
      <c r="A840" s="7"/>
      <c r="B840" s="7"/>
      <c r="C840" s="7"/>
      <c r="D840" s="7"/>
      <c r="E840" s="7"/>
    </row>
    <row r="841" ht="15.75" customHeight="1">
      <c r="A841" s="7"/>
      <c r="B841" s="7"/>
      <c r="C841" s="7"/>
      <c r="D841" s="7"/>
      <c r="E841" s="7"/>
    </row>
    <row r="842" ht="15.75" customHeight="1">
      <c r="A842" s="7"/>
      <c r="B842" s="7"/>
      <c r="C842" s="7"/>
      <c r="D842" s="7"/>
      <c r="E842" s="7"/>
    </row>
    <row r="843" ht="15.75" customHeight="1">
      <c r="A843" s="7"/>
      <c r="B843" s="7"/>
      <c r="C843" s="7"/>
      <c r="D843" s="7"/>
      <c r="E843" s="7"/>
    </row>
    <row r="844" ht="15.75" customHeight="1">
      <c r="A844" s="7"/>
      <c r="B844" s="7"/>
      <c r="C844" s="7"/>
      <c r="D844" s="7"/>
      <c r="E844" s="7"/>
    </row>
    <row r="845" ht="15.75" customHeight="1">
      <c r="A845" s="7"/>
      <c r="B845" s="7"/>
      <c r="C845" s="7"/>
      <c r="D845" s="7"/>
      <c r="E845" s="7"/>
    </row>
    <row r="846" ht="15.75" customHeight="1">
      <c r="A846" s="7"/>
      <c r="B846" s="7"/>
      <c r="C846" s="7"/>
      <c r="D846" s="7"/>
      <c r="E846" s="7"/>
    </row>
    <row r="847" ht="15.75" customHeight="1">
      <c r="A847" s="7"/>
      <c r="B847" s="7"/>
      <c r="C847" s="7"/>
      <c r="D847" s="7"/>
      <c r="E847" s="7"/>
    </row>
    <row r="848" ht="15.75" customHeight="1">
      <c r="A848" s="7"/>
      <c r="B848" s="7"/>
      <c r="C848" s="7"/>
      <c r="D848" s="7"/>
      <c r="E848" s="7"/>
    </row>
    <row r="849" ht="15.75" customHeight="1">
      <c r="A849" s="7"/>
      <c r="B849" s="7"/>
      <c r="C849" s="7"/>
      <c r="D849" s="7"/>
      <c r="E849" s="7"/>
    </row>
    <row r="850" ht="15.75" customHeight="1">
      <c r="A850" s="7"/>
      <c r="B850" s="7"/>
      <c r="C850" s="7"/>
      <c r="D850" s="7"/>
      <c r="E850" s="7"/>
    </row>
    <row r="851" ht="15.75" customHeight="1">
      <c r="A851" s="7"/>
      <c r="B851" s="7"/>
      <c r="C851" s="7"/>
      <c r="D851" s="7"/>
      <c r="E851" s="7"/>
    </row>
    <row r="852" ht="15.75" customHeight="1">
      <c r="A852" s="7"/>
      <c r="B852" s="7"/>
      <c r="C852" s="7"/>
      <c r="D852" s="7"/>
      <c r="E852" s="7"/>
    </row>
    <row r="853" ht="15.75" customHeight="1">
      <c r="A853" s="7"/>
      <c r="B853" s="7"/>
      <c r="C853" s="7"/>
      <c r="D853" s="7"/>
      <c r="E853" s="7"/>
    </row>
    <row r="854" ht="15.75" customHeight="1">
      <c r="A854" s="7"/>
      <c r="B854" s="7"/>
      <c r="C854" s="7"/>
      <c r="D854" s="7"/>
      <c r="E854" s="7"/>
    </row>
    <row r="855" ht="15.75" customHeight="1">
      <c r="A855" s="7"/>
      <c r="B855" s="7"/>
      <c r="C855" s="7"/>
      <c r="D855" s="7"/>
      <c r="E855" s="7"/>
    </row>
    <row r="856" ht="15.75" customHeight="1">
      <c r="A856" s="7"/>
      <c r="B856" s="7"/>
      <c r="C856" s="7"/>
      <c r="D856" s="7"/>
      <c r="E856" s="7"/>
    </row>
    <row r="857" ht="15.75" customHeight="1">
      <c r="A857" s="7"/>
      <c r="B857" s="7"/>
      <c r="C857" s="7"/>
      <c r="D857" s="7"/>
      <c r="E857" s="7"/>
    </row>
    <row r="858" ht="15.75" customHeight="1">
      <c r="A858" s="7"/>
      <c r="B858" s="7"/>
      <c r="C858" s="7"/>
      <c r="D858" s="7"/>
      <c r="E858" s="7"/>
    </row>
    <row r="859" ht="15.75" customHeight="1">
      <c r="A859" s="7"/>
      <c r="B859" s="7"/>
      <c r="C859" s="7"/>
      <c r="D859" s="7"/>
      <c r="E859" s="7"/>
    </row>
    <row r="860" ht="15.75" customHeight="1">
      <c r="A860" s="7"/>
      <c r="B860" s="7"/>
      <c r="C860" s="7"/>
      <c r="D860" s="7"/>
      <c r="E860" s="7"/>
    </row>
    <row r="861" ht="15.75" customHeight="1">
      <c r="A861" s="7"/>
      <c r="B861" s="7"/>
      <c r="C861" s="7"/>
      <c r="D861" s="7"/>
      <c r="E861" s="7"/>
    </row>
    <row r="862" ht="15.75" customHeight="1">
      <c r="A862" s="7"/>
      <c r="B862" s="7"/>
      <c r="C862" s="7"/>
      <c r="D862" s="7"/>
      <c r="E862" s="7"/>
    </row>
    <row r="863" ht="15.75" customHeight="1">
      <c r="A863" s="7"/>
      <c r="B863" s="7"/>
      <c r="C863" s="7"/>
      <c r="D863" s="7"/>
      <c r="E863" s="7"/>
    </row>
    <row r="864" ht="15.75" customHeight="1">
      <c r="A864" s="7"/>
      <c r="B864" s="7"/>
      <c r="C864" s="7"/>
      <c r="D864" s="7"/>
      <c r="E864" s="7"/>
    </row>
    <row r="865" ht="15.75" customHeight="1">
      <c r="A865" s="7"/>
      <c r="B865" s="7"/>
      <c r="C865" s="7"/>
      <c r="D865" s="7"/>
      <c r="E865" s="7"/>
    </row>
    <row r="866" ht="15.75" customHeight="1">
      <c r="A866" s="7"/>
      <c r="B866" s="7"/>
      <c r="C866" s="7"/>
      <c r="D866" s="7"/>
      <c r="E866" s="7"/>
    </row>
    <row r="867" ht="15.75" customHeight="1">
      <c r="A867" s="7"/>
      <c r="B867" s="7"/>
      <c r="C867" s="7"/>
      <c r="D867" s="7"/>
      <c r="E867" s="7"/>
    </row>
    <row r="868" ht="15.75" customHeight="1">
      <c r="A868" s="7"/>
      <c r="B868" s="7"/>
      <c r="C868" s="7"/>
      <c r="D868" s="7"/>
      <c r="E868" s="7"/>
    </row>
    <row r="869" ht="15.75" customHeight="1">
      <c r="A869" s="7"/>
      <c r="B869" s="7"/>
      <c r="C869" s="7"/>
      <c r="D869" s="7"/>
      <c r="E869" s="7"/>
    </row>
    <row r="870" ht="15.75" customHeight="1">
      <c r="A870" s="7"/>
      <c r="B870" s="7"/>
      <c r="C870" s="7"/>
      <c r="D870" s="7"/>
      <c r="E870" s="7"/>
    </row>
    <row r="871" ht="15.75" customHeight="1">
      <c r="A871" s="7"/>
      <c r="B871" s="7"/>
      <c r="C871" s="7"/>
      <c r="D871" s="7"/>
      <c r="E871" s="7"/>
    </row>
    <row r="872" ht="15.75" customHeight="1">
      <c r="A872" s="7"/>
      <c r="B872" s="7"/>
      <c r="C872" s="7"/>
      <c r="D872" s="7"/>
      <c r="E872" s="7"/>
    </row>
    <row r="873" ht="15.75" customHeight="1">
      <c r="A873" s="7"/>
      <c r="B873" s="7"/>
      <c r="C873" s="7"/>
      <c r="D873" s="7"/>
      <c r="E873" s="7"/>
    </row>
    <row r="874" ht="15.75" customHeight="1">
      <c r="A874" s="7"/>
      <c r="B874" s="7"/>
      <c r="C874" s="7"/>
      <c r="D874" s="7"/>
      <c r="E874" s="7"/>
    </row>
    <row r="875" ht="15.75" customHeight="1">
      <c r="A875" s="7"/>
      <c r="B875" s="7"/>
      <c r="C875" s="7"/>
      <c r="D875" s="7"/>
      <c r="E875" s="7"/>
    </row>
    <row r="876" ht="15.75" customHeight="1">
      <c r="A876" s="7"/>
      <c r="B876" s="7"/>
      <c r="C876" s="7"/>
      <c r="D876" s="7"/>
      <c r="E876" s="7"/>
    </row>
    <row r="877" ht="15.75" customHeight="1">
      <c r="A877" s="7"/>
      <c r="B877" s="7"/>
      <c r="C877" s="7"/>
      <c r="D877" s="7"/>
      <c r="E877" s="7"/>
    </row>
    <row r="878" ht="15.75" customHeight="1">
      <c r="A878" s="7"/>
      <c r="B878" s="7"/>
      <c r="C878" s="7"/>
      <c r="D878" s="7"/>
      <c r="E878" s="7"/>
    </row>
    <row r="879" ht="15.75" customHeight="1">
      <c r="A879" s="7"/>
      <c r="B879" s="7"/>
      <c r="C879" s="7"/>
      <c r="D879" s="7"/>
      <c r="E879" s="7"/>
    </row>
    <row r="880" ht="15.75" customHeight="1">
      <c r="A880" s="7"/>
      <c r="B880" s="7"/>
      <c r="C880" s="7"/>
      <c r="D880" s="7"/>
      <c r="E880" s="7"/>
    </row>
    <row r="881" ht="15.75" customHeight="1">
      <c r="A881" s="7"/>
      <c r="B881" s="7"/>
      <c r="C881" s="7"/>
      <c r="D881" s="7"/>
      <c r="E881" s="7"/>
    </row>
    <row r="882" ht="15.75" customHeight="1">
      <c r="A882" s="7"/>
      <c r="B882" s="7"/>
      <c r="C882" s="7"/>
      <c r="D882" s="7"/>
      <c r="E882" s="7"/>
    </row>
    <row r="883" ht="15.75" customHeight="1">
      <c r="A883" s="7"/>
      <c r="B883" s="7"/>
      <c r="C883" s="7"/>
      <c r="D883" s="7"/>
      <c r="E883" s="7"/>
    </row>
    <row r="884" ht="15.75" customHeight="1">
      <c r="A884" s="7"/>
      <c r="B884" s="7"/>
      <c r="C884" s="7"/>
      <c r="D884" s="7"/>
      <c r="E884" s="7"/>
    </row>
    <row r="885" ht="15.75" customHeight="1">
      <c r="A885" s="7"/>
      <c r="B885" s="7"/>
      <c r="C885" s="7"/>
      <c r="D885" s="7"/>
      <c r="E885" s="7"/>
    </row>
    <row r="886" ht="15.75" customHeight="1">
      <c r="A886" s="7"/>
      <c r="B886" s="7"/>
      <c r="C886" s="7"/>
      <c r="D886" s="7"/>
      <c r="E886" s="7"/>
    </row>
    <row r="887" ht="15.75" customHeight="1">
      <c r="A887" s="7"/>
      <c r="B887" s="7"/>
      <c r="C887" s="7"/>
      <c r="D887" s="7"/>
      <c r="E887" s="7"/>
    </row>
    <row r="888" ht="15.75" customHeight="1">
      <c r="A888" s="7"/>
      <c r="B888" s="7"/>
      <c r="C888" s="7"/>
      <c r="D888" s="7"/>
      <c r="E888" s="7"/>
    </row>
    <row r="889" ht="15.75" customHeight="1">
      <c r="A889" s="7"/>
      <c r="B889" s="7"/>
      <c r="C889" s="7"/>
      <c r="D889" s="7"/>
      <c r="E889" s="7"/>
    </row>
    <row r="890" ht="15.75" customHeight="1">
      <c r="A890" s="7"/>
      <c r="B890" s="7"/>
      <c r="C890" s="7"/>
      <c r="D890" s="7"/>
      <c r="E890" s="7"/>
    </row>
    <row r="891" ht="15.75" customHeight="1">
      <c r="A891" s="7"/>
      <c r="B891" s="7"/>
      <c r="C891" s="7"/>
      <c r="D891" s="7"/>
      <c r="E891" s="7"/>
    </row>
    <row r="892" ht="15.75" customHeight="1">
      <c r="A892" s="7"/>
      <c r="B892" s="7"/>
      <c r="C892" s="7"/>
      <c r="D892" s="7"/>
      <c r="E892" s="7"/>
    </row>
    <row r="893" ht="15.75" customHeight="1">
      <c r="A893" s="7"/>
      <c r="B893" s="7"/>
      <c r="C893" s="7"/>
      <c r="D893" s="7"/>
      <c r="E893" s="7"/>
    </row>
    <row r="894" ht="15.75" customHeight="1">
      <c r="A894" s="7"/>
      <c r="B894" s="7"/>
      <c r="C894" s="7"/>
      <c r="D894" s="7"/>
      <c r="E894" s="7"/>
    </row>
    <row r="895" ht="15.75" customHeight="1">
      <c r="A895" s="7"/>
      <c r="B895" s="7"/>
      <c r="C895" s="7"/>
      <c r="D895" s="7"/>
      <c r="E895" s="7"/>
    </row>
    <row r="896" ht="15.75" customHeight="1">
      <c r="A896" s="7"/>
      <c r="B896" s="7"/>
      <c r="C896" s="7"/>
      <c r="D896" s="7"/>
      <c r="E896" s="7"/>
    </row>
    <row r="897" ht="15.75" customHeight="1">
      <c r="A897" s="7"/>
      <c r="B897" s="7"/>
      <c r="C897" s="7"/>
      <c r="D897" s="7"/>
      <c r="E897" s="7"/>
    </row>
    <row r="898" ht="15.75" customHeight="1">
      <c r="A898" s="7"/>
      <c r="B898" s="7"/>
      <c r="C898" s="7"/>
      <c r="D898" s="7"/>
      <c r="E898" s="7"/>
    </row>
    <row r="899" ht="15.75" customHeight="1">
      <c r="A899" s="7"/>
      <c r="B899" s="7"/>
      <c r="C899" s="7"/>
      <c r="D899" s="7"/>
      <c r="E899" s="7"/>
    </row>
    <row r="900" ht="15.75" customHeight="1">
      <c r="A900" s="7"/>
      <c r="B900" s="7"/>
      <c r="C900" s="7"/>
      <c r="D900" s="7"/>
      <c r="E900" s="7"/>
    </row>
    <row r="901" ht="15.75" customHeight="1">
      <c r="A901" s="7"/>
      <c r="B901" s="7"/>
      <c r="C901" s="7"/>
      <c r="D901" s="7"/>
      <c r="E901" s="7"/>
    </row>
    <row r="902" ht="15.75" customHeight="1">
      <c r="A902" s="7"/>
      <c r="B902" s="7"/>
      <c r="C902" s="7"/>
      <c r="D902" s="7"/>
      <c r="E902" s="7"/>
    </row>
    <row r="903" ht="15.75" customHeight="1">
      <c r="A903" s="7"/>
      <c r="B903" s="7"/>
      <c r="C903" s="7"/>
      <c r="D903" s="7"/>
      <c r="E903" s="7"/>
    </row>
    <row r="904" ht="15.75" customHeight="1">
      <c r="A904" s="7"/>
      <c r="B904" s="7"/>
      <c r="C904" s="7"/>
      <c r="D904" s="7"/>
      <c r="E904" s="7"/>
    </row>
    <row r="905" ht="15.75" customHeight="1">
      <c r="A905" s="7"/>
      <c r="B905" s="7"/>
      <c r="C905" s="7"/>
      <c r="D905" s="7"/>
      <c r="E905" s="7"/>
    </row>
    <row r="906" ht="15.75" customHeight="1">
      <c r="A906" s="7"/>
      <c r="B906" s="7"/>
      <c r="C906" s="7"/>
      <c r="D906" s="7"/>
      <c r="E906" s="7"/>
    </row>
    <row r="907" ht="15.75" customHeight="1">
      <c r="A907" s="7"/>
      <c r="B907" s="7"/>
      <c r="C907" s="7"/>
      <c r="D907" s="7"/>
      <c r="E907" s="7"/>
    </row>
    <row r="908" ht="15.75" customHeight="1">
      <c r="A908" s="7"/>
      <c r="B908" s="7"/>
      <c r="C908" s="7"/>
      <c r="D908" s="7"/>
      <c r="E908" s="7"/>
    </row>
    <row r="909" ht="15.75" customHeight="1">
      <c r="A909" s="7"/>
      <c r="B909" s="7"/>
      <c r="C909" s="7"/>
      <c r="D909" s="7"/>
      <c r="E909" s="7"/>
    </row>
    <row r="910" ht="15.75" customHeight="1">
      <c r="A910" s="7"/>
      <c r="B910" s="7"/>
      <c r="C910" s="7"/>
      <c r="D910" s="7"/>
      <c r="E910" s="7"/>
    </row>
    <row r="911" ht="15.75" customHeight="1">
      <c r="A911" s="7"/>
      <c r="B911" s="7"/>
      <c r="C911" s="7"/>
      <c r="D911" s="7"/>
      <c r="E911" s="7"/>
    </row>
    <row r="912" ht="15.75" customHeight="1">
      <c r="A912" s="7"/>
      <c r="B912" s="7"/>
      <c r="C912" s="7"/>
      <c r="D912" s="7"/>
      <c r="E912" s="7"/>
    </row>
    <row r="913" ht="15.75" customHeight="1">
      <c r="A913" s="7"/>
      <c r="B913" s="7"/>
      <c r="C913" s="7"/>
      <c r="D913" s="7"/>
      <c r="E913" s="7"/>
    </row>
    <row r="914" ht="15.75" customHeight="1">
      <c r="A914" s="7"/>
      <c r="B914" s="7"/>
      <c r="C914" s="7"/>
      <c r="D914" s="7"/>
      <c r="E914" s="7"/>
    </row>
    <row r="915" ht="15.75" customHeight="1">
      <c r="A915" s="7"/>
      <c r="B915" s="7"/>
      <c r="C915" s="7"/>
      <c r="D915" s="7"/>
      <c r="E915" s="7"/>
    </row>
    <row r="916" ht="15.75" customHeight="1">
      <c r="A916" s="7"/>
      <c r="B916" s="7"/>
      <c r="C916" s="7"/>
      <c r="D916" s="7"/>
      <c r="E916" s="7"/>
    </row>
    <row r="917" ht="15.75" customHeight="1">
      <c r="A917" s="7"/>
      <c r="B917" s="7"/>
      <c r="C917" s="7"/>
      <c r="D917" s="7"/>
      <c r="E917" s="7"/>
    </row>
    <row r="918" ht="15.75" customHeight="1">
      <c r="A918" s="7"/>
      <c r="B918" s="7"/>
      <c r="C918" s="7"/>
      <c r="D918" s="7"/>
      <c r="E918" s="7"/>
    </row>
    <row r="919" ht="15.75" customHeight="1">
      <c r="A919" s="7"/>
      <c r="B919" s="7"/>
      <c r="C919" s="7"/>
      <c r="D919" s="7"/>
      <c r="E919" s="7"/>
    </row>
    <row r="920" ht="15.75" customHeight="1">
      <c r="A920" s="7"/>
      <c r="B920" s="7"/>
      <c r="C920" s="7"/>
      <c r="D920" s="7"/>
      <c r="E920" s="7"/>
    </row>
    <row r="921" ht="15.75" customHeight="1">
      <c r="A921" s="7"/>
      <c r="B921" s="7"/>
      <c r="C921" s="7"/>
      <c r="D921" s="7"/>
      <c r="E921" s="7"/>
    </row>
    <row r="922" ht="15.75" customHeight="1">
      <c r="A922" s="7"/>
      <c r="B922" s="7"/>
      <c r="C922" s="7"/>
      <c r="D922" s="7"/>
      <c r="E922" s="7"/>
    </row>
    <row r="923" ht="15.75" customHeight="1">
      <c r="A923" s="7"/>
      <c r="B923" s="7"/>
      <c r="C923" s="7"/>
      <c r="D923" s="7"/>
      <c r="E923" s="7"/>
    </row>
    <row r="924" ht="15.75" customHeight="1">
      <c r="A924" s="7"/>
      <c r="B924" s="7"/>
      <c r="C924" s="7"/>
      <c r="D924" s="7"/>
      <c r="E924" s="7"/>
    </row>
    <row r="925" ht="15.75" customHeight="1">
      <c r="A925" s="7"/>
      <c r="B925" s="7"/>
      <c r="C925" s="7"/>
      <c r="D925" s="7"/>
      <c r="E925" s="7"/>
    </row>
    <row r="926" ht="15.75" customHeight="1">
      <c r="A926" s="7"/>
      <c r="B926" s="7"/>
      <c r="C926" s="7"/>
      <c r="D926" s="7"/>
      <c r="E926" s="7"/>
    </row>
    <row r="927" ht="15.75" customHeight="1">
      <c r="A927" s="7"/>
      <c r="B927" s="7"/>
      <c r="C927" s="7"/>
      <c r="D927" s="7"/>
      <c r="E927" s="7"/>
    </row>
    <row r="928" ht="15.75" customHeight="1">
      <c r="A928" s="7"/>
      <c r="B928" s="7"/>
      <c r="C928" s="7"/>
      <c r="D928" s="7"/>
      <c r="E928" s="7"/>
    </row>
    <row r="929" ht="15.75" customHeight="1">
      <c r="A929" s="7"/>
      <c r="B929" s="7"/>
      <c r="C929" s="7"/>
      <c r="D929" s="7"/>
      <c r="E929" s="7"/>
    </row>
    <row r="930" ht="15.75" customHeight="1">
      <c r="A930" s="7"/>
      <c r="B930" s="7"/>
      <c r="C930" s="7"/>
      <c r="D930" s="7"/>
      <c r="E930" s="7"/>
    </row>
    <row r="931" ht="15.75" customHeight="1">
      <c r="A931" s="7"/>
      <c r="B931" s="7"/>
      <c r="C931" s="7"/>
      <c r="D931" s="7"/>
      <c r="E931" s="7"/>
    </row>
    <row r="932" ht="15.75" customHeight="1">
      <c r="A932" s="7"/>
      <c r="B932" s="7"/>
      <c r="C932" s="7"/>
      <c r="D932" s="7"/>
      <c r="E932" s="7"/>
    </row>
    <row r="933" ht="15.75" customHeight="1">
      <c r="A933" s="7"/>
      <c r="B933" s="7"/>
      <c r="C933" s="7"/>
      <c r="D933" s="7"/>
      <c r="E933" s="7"/>
    </row>
    <row r="934" ht="15.75" customHeight="1">
      <c r="A934" s="7"/>
      <c r="B934" s="7"/>
      <c r="C934" s="7"/>
      <c r="D934" s="7"/>
      <c r="E934" s="7"/>
    </row>
    <row r="935" ht="15.75" customHeight="1">
      <c r="A935" s="7"/>
      <c r="B935" s="7"/>
      <c r="C935" s="7"/>
      <c r="D935" s="7"/>
      <c r="E935" s="7"/>
    </row>
    <row r="936" ht="15.75" customHeight="1">
      <c r="A936" s="7"/>
      <c r="B936" s="7"/>
      <c r="C936" s="7"/>
      <c r="D936" s="7"/>
      <c r="E936" s="7"/>
    </row>
    <row r="937" ht="15.75" customHeight="1">
      <c r="A937" s="7"/>
      <c r="B937" s="7"/>
      <c r="C937" s="7"/>
      <c r="D937" s="7"/>
      <c r="E937" s="7"/>
    </row>
    <row r="938" ht="15.75" customHeight="1">
      <c r="A938" s="7"/>
      <c r="B938" s="7"/>
      <c r="C938" s="7"/>
      <c r="D938" s="7"/>
      <c r="E938" s="7"/>
    </row>
    <row r="939" ht="15.75" customHeight="1">
      <c r="A939" s="7"/>
      <c r="B939" s="7"/>
      <c r="C939" s="7"/>
      <c r="D939" s="7"/>
      <c r="E939" s="7"/>
    </row>
    <row r="940" ht="15.75" customHeight="1">
      <c r="A940" s="7"/>
      <c r="B940" s="7"/>
      <c r="C940" s="7"/>
      <c r="D940" s="7"/>
      <c r="E940" s="7"/>
    </row>
    <row r="941" ht="15.75" customHeight="1">
      <c r="A941" s="7"/>
      <c r="B941" s="7"/>
      <c r="C941" s="7"/>
      <c r="D941" s="7"/>
      <c r="E941" s="7"/>
    </row>
    <row r="942" ht="15.75" customHeight="1">
      <c r="A942" s="7"/>
      <c r="B942" s="7"/>
      <c r="C942" s="7"/>
      <c r="D942" s="7"/>
      <c r="E942" s="7"/>
    </row>
    <row r="943" ht="15.75" customHeight="1">
      <c r="A943" s="7"/>
      <c r="B943" s="7"/>
      <c r="C943" s="7"/>
      <c r="D943" s="7"/>
      <c r="E943" s="7"/>
    </row>
    <row r="944" ht="15.75" customHeight="1">
      <c r="A944" s="7"/>
      <c r="B944" s="7"/>
      <c r="C944" s="7"/>
      <c r="D944" s="7"/>
      <c r="E944" s="7"/>
    </row>
    <row r="945" ht="15.75" customHeight="1">
      <c r="A945" s="7"/>
      <c r="B945" s="7"/>
      <c r="C945" s="7"/>
      <c r="D945" s="7"/>
      <c r="E945" s="7"/>
    </row>
    <row r="946" ht="15.75" customHeight="1">
      <c r="A946" s="7"/>
      <c r="B946" s="7"/>
      <c r="C946" s="7"/>
      <c r="D946" s="7"/>
      <c r="E946" s="7"/>
    </row>
    <row r="947" ht="15.75" customHeight="1">
      <c r="A947" s="7"/>
      <c r="B947" s="7"/>
      <c r="C947" s="7"/>
      <c r="D947" s="7"/>
      <c r="E947" s="7"/>
    </row>
    <row r="948" ht="15.75" customHeight="1">
      <c r="A948" s="7"/>
      <c r="B948" s="7"/>
      <c r="C948" s="7"/>
      <c r="D948" s="7"/>
      <c r="E948" s="7"/>
    </row>
    <row r="949" ht="15.75" customHeight="1">
      <c r="A949" s="7"/>
      <c r="B949" s="7"/>
      <c r="C949" s="7"/>
      <c r="D949" s="7"/>
      <c r="E949" s="7"/>
    </row>
    <row r="950" ht="15.75" customHeight="1">
      <c r="A950" s="7"/>
      <c r="B950" s="7"/>
      <c r="C950" s="7"/>
      <c r="D950" s="7"/>
      <c r="E950" s="7"/>
    </row>
    <row r="951" ht="15.75" customHeight="1">
      <c r="A951" s="7"/>
      <c r="B951" s="7"/>
      <c r="C951" s="7"/>
      <c r="D951" s="7"/>
      <c r="E951" s="7"/>
    </row>
    <row r="952" ht="15.75" customHeight="1">
      <c r="A952" s="7"/>
      <c r="B952" s="7"/>
      <c r="C952" s="7"/>
      <c r="D952" s="7"/>
      <c r="E952" s="7"/>
    </row>
    <row r="953" ht="15.75" customHeight="1">
      <c r="A953" s="7"/>
      <c r="B953" s="7"/>
      <c r="C953" s="7"/>
      <c r="D953" s="7"/>
      <c r="E953" s="7"/>
    </row>
    <row r="954" ht="15.75" customHeight="1">
      <c r="A954" s="7"/>
      <c r="B954" s="7"/>
      <c r="C954" s="7"/>
      <c r="D954" s="7"/>
      <c r="E954" s="7"/>
    </row>
    <row r="955" ht="15.75" customHeight="1">
      <c r="A955" s="7"/>
      <c r="B955" s="7"/>
      <c r="C955" s="7"/>
      <c r="D955" s="7"/>
      <c r="E955" s="7"/>
    </row>
    <row r="956" ht="15.75" customHeight="1">
      <c r="A956" s="7"/>
      <c r="B956" s="7"/>
      <c r="C956" s="7"/>
      <c r="D956" s="7"/>
      <c r="E956" s="7"/>
    </row>
    <row r="957" ht="15.75" customHeight="1">
      <c r="A957" s="7"/>
      <c r="B957" s="7"/>
      <c r="C957" s="7"/>
      <c r="D957" s="7"/>
      <c r="E957" s="7"/>
    </row>
    <row r="958" ht="15.75" customHeight="1">
      <c r="A958" s="7"/>
      <c r="B958" s="7"/>
      <c r="C958" s="7"/>
      <c r="D958" s="7"/>
      <c r="E958" s="7"/>
    </row>
    <row r="959" ht="15.75" customHeight="1">
      <c r="A959" s="7"/>
      <c r="B959" s="7"/>
      <c r="C959" s="7"/>
      <c r="D959" s="7"/>
      <c r="E959" s="7"/>
    </row>
    <row r="960" ht="15.75" customHeight="1">
      <c r="A960" s="7"/>
      <c r="B960" s="7"/>
      <c r="C960" s="7"/>
      <c r="D960" s="7"/>
      <c r="E960" s="7"/>
    </row>
    <row r="961" ht="15.75" customHeight="1">
      <c r="A961" s="7"/>
      <c r="B961" s="7"/>
      <c r="C961" s="7"/>
      <c r="D961" s="7"/>
      <c r="E961" s="7"/>
    </row>
    <row r="962" ht="15.75" customHeight="1">
      <c r="A962" s="7"/>
      <c r="B962" s="7"/>
      <c r="C962" s="7"/>
      <c r="D962" s="7"/>
      <c r="E962" s="7"/>
    </row>
    <row r="963" ht="15.75" customHeight="1">
      <c r="A963" s="7"/>
      <c r="B963" s="7"/>
      <c r="C963" s="7"/>
      <c r="D963" s="7"/>
      <c r="E963" s="7"/>
    </row>
    <row r="964" ht="15.75" customHeight="1">
      <c r="A964" s="7"/>
      <c r="B964" s="7"/>
      <c r="C964" s="7"/>
      <c r="D964" s="7"/>
      <c r="E964" s="7"/>
    </row>
    <row r="965" ht="15.75" customHeight="1">
      <c r="A965" s="7"/>
      <c r="B965" s="7"/>
      <c r="C965" s="7"/>
      <c r="D965" s="7"/>
      <c r="E965" s="7"/>
    </row>
    <row r="966" ht="15.75" customHeight="1">
      <c r="A966" s="7"/>
      <c r="B966" s="7"/>
      <c r="C966" s="7"/>
      <c r="D966" s="7"/>
      <c r="E966" s="7"/>
    </row>
    <row r="967" ht="15.75" customHeight="1">
      <c r="A967" s="7"/>
      <c r="B967" s="7"/>
      <c r="C967" s="7"/>
      <c r="D967" s="7"/>
      <c r="E967" s="7"/>
    </row>
    <row r="968" ht="15.75" customHeight="1">
      <c r="A968" s="7"/>
      <c r="B968" s="7"/>
      <c r="C968" s="7"/>
      <c r="D968" s="7"/>
      <c r="E968" s="7"/>
    </row>
    <row r="969" ht="15.75" customHeight="1">
      <c r="A969" s="7"/>
      <c r="B969" s="7"/>
      <c r="C969" s="7"/>
      <c r="D969" s="7"/>
      <c r="E969" s="7"/>
    </row>
    <row r="970" ht="15.75" customHeight="1">
      <c r="A970" s="7"/>
      <c r="B970" s="7"/>
      <c r="C970" s="7"/>
      <c r="D970" s="7"/>
      <c r="E970" s="7"/>
    </row>
    <row r="971" ht="15.75" customHeight="1">
      <c r="A971" s="7"/>
      <c r="B971" s="7"/>
      <c r="C971" s="7"/>
      <c r="D971" s="7"/>
      <c r="E971" s="7"/>
    </row>
    <row r="972" ht="15.75" customHeight="1">
      <c r="A972" s="7"/>
      <c r="B972" s="7"/>
      <c r="C972" s="7"/>
      <c r="D972" s="7"/>
      <c r="E972" s="7"/>
    </row>
    <row r="973" ht="15.75" customHeight="1">
      <c r="A973" s="7"/>
      <c r="B973" s="7"/>
      <c r="C973" s="7"/>
      <c r="D973" s="7"/>
      <c r="E973" s="7"/>
    </row>
    <row r="974" ht="15.75" customHeight="1">
      <c r="A974" s="7"/>
      <c r="B974" s="7"/>
      <c r="C974" s="7"/>
      <c r="D974" s="7"/>
      <c r="E974" s="7"/>
    </row>
    <row r="975" ht="15.75" customHeight="1">
      <c r="A975" s="7"/>
      <c r="B975" s="7"/>
      <c r="C975" s="7"/>
      <c r="D975" s="7"/>
      <c r="E975" s="7"/>
    </row>
    <row r="976" ht="15.75" customHeight="1">
      <c r="A976" s="7"/>
      <c r="B976" s="7"/>
      <c r="C976" s="7"/>
      <c r="D976" s="7"/>
      <c r="E976" s="7"/>
    </row>
    <row r="977" ht="15.75" customHeight="1">
      <c r="A977" s="7"/>
      <c r="B977" s="7"/>
      <c r="C977" s="7"/>
      <c r="D977" s="7"/>
      <c r="E977" s="7"/>
    </row>
    <row r="978" ht="15.75" customHeight="1">
      <c r="A978" s="7"/>
      <c r="B978" s="7"/>
      <c r="C978" s="7"/>
      <c r="D978" s="7"/>
      <c r="E978" s="7"/>
    </row>
    <row r="979" ht="15.75" customHeight="1">
      <c r="A979" s="7"/>
      <c r="B979" s="7"/>
      <c r="C979" s="7"/>
      <c r="D979" s="7"/>
      <c r="E979" s="7"/>
    </row>
    <row r="980" ht="15.75" customHeight="1">
      <c r="A980" s="7"/>
      <c r="B980" s="7"/>
      <c r="C980" s="7"/>
      <c r="D980" s="7"/>
      <c r="E980" s="7"/>
    </row>
    <row r="981" ht="15.75" customHeight="1">
      <c r="A981" s="7"/>
      <c r="B981" s="7"/>
      <c r="C981" s="7"/>
      <c r="D981" s="7"/>
      <c r="E981" s="7"/>
    </row>
    <row r="982" ht="15.75" customHeight="1">
      <c r="A982" s="7"/>
      <c r="B982" s="7"/>
      <c r="C982" s="7"/>
      <c r="D982" s="7"/>
      <c r="E982" s="7"/>
    </row>
    <row r="983" ht="15.75" customHeight="1">
      <c r="A983" s="7"/>
      <c r="B983" s="7"/>
      <c r="C983" s="7"/>
      <c r="D983" s="7"/>
      <c r="E983" s="7"/>
    </row>
    <row r="984" ht="15.75" customHeight="1">
      <c r="A984" s="7"/>
      <c r="B984" s="7"/>
      <c r="C984" s="7"/>
      <c r="D984" s="7"/>
      <c r="E984" s="7"/>
    </row>
    <row r="985" ht="15.75" customHeight="1">
      <c r="A985" s="7"/>
      <c r="B985" s="7"/>
      <c r="C985" s="7"/>
      <c r="D985" s="7"/>
      <c r="E985" s="7"/>
    </row>
    <row r="986" ht="15.75" customHeight="1">
      <c r="A986" s="7"/>
      <c r="B986" s="7"/>
      <c r="C986" s="7"/>
      <c r="D986" s="7"/>
      <c r="E986" s="7"/>
    </row>
    <row r="987" ht="15.75" customHeight="1">
      <c r="A987" s="7"/>
      <c r="B987" s="7"/>
      <c r="C987" s="7"/>
      <c r="D987" s="7"/>
      <c r="E987" s="7"/>
    </row>
    <row r="988" ht="15.75" customHeight="1">
      <c r="A988" s="7"/>
      <c r="B988" s="7"/>
      <c r="C988" s="7"/>
      <c r="D988" s="7"/>
      <c r="E988" s="7"/>
    </row>
    <row r="989" ht="15.75" customHeight="1">
      <c r="A989" s="7"/>
      <c r="B989" s="7"/>
      <c r="C989" s="7"/>
      <c r="D989" s="7"/>
      <c r="E989" s="7"/>
    </row>
    <row r="990" ht="15.75" customHeight="1">
      <c r="A990" s="7"/>
      <c r="B990" s="7"/>
      <c r="C990" s="7"/>
      <c r="D990" s="7"/>
      <c r="E990" s="7"/>
    </row>
    <row r="991" ht="15.75" customHeight="1">
      <c r="A991" s="7"/>
      <c r="B991" s="7"/>
      <c r="C991" s="7"/>
      <c r="D991" s="7"/>
      <c r="E991" s="7"/>
    </row>
    <row r="992" ht="15.75" customHeight="1">
      <c r="A992" s="7"/>
      <c r="B992" s="7"/>
      <c r="C992" s="7"/>
      <c r="D992" s="7"/>
      <c r="E992" s="7"/>
    </row>
    <row r="993" ht="15.75" customHeight="1">
      <c r="A993" s="7"/>
      <c r="B993" s="7"/>
      <c r="C993" s="7"/>
      <c r="D993" s="7"/>
      <c r="E993" s="7"/>
    </row>
    <row r="994" ht="15.75" customHeight="1">
      <c r="A994" s="7"/>
      <c r="B994" s="7"/>
      <c r="C994" s="7"/>
      <c r="D994" s="7"/>
      <c r="E994" s="7"/>
    </row>
    <row r="995" ht="15.75" customHeight="1">
      <c r="A995" s="7"/>
      <c r="B995" s="7"/>
      <c r="C995" s="7"/>
      <c r="D995" s="7"/>
      <c r="E995" s="7"/>
    </row>
    <row r="996" ht="15.75" customHeight="1">
      <c r="A996" s="7"/>
      <c r="B996" s="7"/>
      <c r="C996" s="7"/>
      <c r="D996" s="7"/>
      <c r="E996" s="7"/>
    </row>
    <row r="997" ht="15.75" customHeight="1">
      <c r="A997" s="7"/>
      <c r="B997" s="7"/>
      <c r="C997" s="7"/>
      <c r="D997" s="7"/>
      <c r="E997" s="7"/>
    </row>
    <row r="998" ht="15.75" customHeight="1">
      <c r="A998" s="7"/>
      <c r="B998" s="7"/>
      <c r="C998" s="7"/>
      <c r="D998" s="7"/>
      <c r="E998" s="7"/>
    </row>
    <row r="999" ht="15.75" customHeight="1">
      <c r="A999" s="7"/>
      <c r="B999" s="7"/>
      <c r="C999" s="7"/>
      <c r="D999" s="7"/>
      <c r="E999" s="7"/>
    </row>
    <row r="1000" ht="15.75" customHeight="1">
      <c r="A1000" s="7"/>
      <c r="B1000" s="7"/>
      <c r="C1000" s="7"/>
      <c r="D1000" s="7"/>
      <c r="E1000" s="7"/>
    </row>
  </sheetData>
  <mergeCells count="9">
    <mergeCell ref="C14:E14"/>
    <mergeCell ref="C15:E15"/>
    <mergeCell ref="A1:E1"/>
    <mergeCell ref="A8:E8"/>
    <mergeCell ref="C9:E9"/>
    <mergeCell ref="C10:E10"/>
    <mergeCell ref="C11:E11"/>
    <mergeCell ref="C12:E12"/>
    <mergeCell ref="C13:E13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0.0"/>
    <col customWidth="1" min="2" max="17" width="16.0"/>
    <col customWidth="1" min="18" max="26" width="8.71"/>
  </cols>
  <sheetData>
    <row r="1" ht="31.5" customHeight="1">
      <c r="A1" s="8" t="s">
        <v>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ht="21.75" customHeight="1">
      <c r="A2" s="31" t="s">
        <v>89</v>
      </c>
      <c r="B2" s="32" t="s">
        <v>90</v>
      </c>
      <c r="C2" s="2"/>
      <c r="D2" s="2"/>
      <c r="E2" s="3"/>
      <c r="F2" s="33" t="s">
        <v>91</v>
      </c>
      <c r="G2" s="2"/>
      <c r="H2" s="2"/>
      <c r="I2" s="3"/>
      <c r="J2" s="34" t="s">
        <v>92</v>
      </c>
      <c r="K2" s="2"/>
      <c r="L2" s="2"/>
      <c r="M2" s="3"/>
      <c r="N2" s="35" t="s">
        <v>93</v>
      </c>
      <c r="O2" s="2"/>
      <c r="P2" s="2"/>
      <c r="Q2" s="3"/>
    </row>
    <row r="3" ht="36.0" customHeight="1">
      <c r="A3" s="36" t="s">
        <v>94</v>
      </c>
      <c r="B3" s="36" t="s">
        <v>60</v>
      </c>
      <c r="C3" s="36" t="s">
        <v>95</v>
      </c>
      <c r="D3" s="36" t="s">
        <v>96</v>
      </c>
      <c r="E3" s="36" t="s">
        <v>97</v>
      </c>
      <c r="F3" s="36" t="s">
        <v>60</v>
      </c>
      <c r="G3" s="36" t="s">
        <v>95</v>
      </c>
      <c r="H3" s="36" t="s">
        <v>96</v>
      </c>
      <c r="I3" s="36" t="s">
        <v>97</v>
      </c>
      <c r="J3" s="36" t="s">
        <v>60</v>
      </c>
      <c r="K3" s="36" t="s">
        <v>95</v>
      </c>
      <c r="L3" s="36" t="s">
        <v>96</v>
      </c>
      <c r="M3" s="36" t="s">
        <v>97</v>
      </c>
      <c r="N3" s="36" t="s">
        <v>60</v>
      </c>
      <c r="O3" s="36" t="s">
        <v>95</v>
      </c>
      <c r="P3" s="36" t="s">
        <v>96</v>
      </c>
      <c r="Q3" s="36" t="s">
        <v>97</v>
      </c>
    </row>
    <row r="4" ht="51.75" customHeight="1">
      <c r="A4" s="37" t="s">
        <v>98</v>
      </c>
      <c r="B4" s="37" t="s">
        <v>99</v>
      </c>
      <c r="C4" s="37" t="s">
        <v>100</v>
      </c>
      <c r="D4" s="37" t="s">
        <v>101</v>
      </c>
      <c r="E4" s="37" t="s">
        <v>102</v>
      </c>
      <c r="F4" s="37" t="s">
        <v>103</v>
      </c>
      <c r="G4" s="37" t="s">
        <v>104</v>
      </c>
      <c r="H4" s="37" t="s">
        <v>105</v>
      </c>
      <c r="I4" s="37" t="s">
        <v>106</v>
      </c>
      <c r="J4" s="37" t="s">
        <v>107</v>
      </c>
      <c r="K4" s="37" t="s">
        <v>108</v>
      </c>
      <c r="L4" s="37" t="s">
        <v>109</v>
      </c>
      <c r="M4" s="37" t="s">
        <v>110</v>
      </c>
      <c r="N4" s="37" t="s">
        <v>111</v>
      </c>
      <c r="O4" s="37" t="s">
        <v>112</v>
      </c>
      <c r="P4" s="37" t="s">
        <v>113</v>
      </c>
      <c r="Q4" s="37" t="s">
        <v>114</v>
      </c>
    </row>
    <row r="5" ht="15.75" customHeight="1">
      <c r="A5" s="38">
        <v>1.0</v>
      </c>
      <c r="B5" s="39">
        <v>3111369.96</v>
      </c>
      <c r="C5" s="39">
        <v>216669.84</v>
      </c>
      <c r="D5" s="39">
        <v>0.0</v>
      </c>
      <c r="E5" s="40">
        <f t="shared" ref="E5:E504" si="1">B5+C5+D5</f>
        <v>3328039.8</v>
      </c>
      <c r="F5" s="39">
        <v>0.0</v>
      </c>
      <c r="G5" s="39">
        <v>0.0</v>
      </c>
      <c r="H5" s="39">
        <v>0.0</v>
      </c>
      <c r="I5" s="40">
        <f t="shared" ref="I5:I504" si="2">F5+G5+H5</f>
        <v>0</v>
      </c>
      <c r="J5" s="39">
        <v>908762.46</v>
      </c>
      <c r="K5" s="39">
        <v>0.0</v>
      </c>
      <c r="L5" s="39">
        <v>0.0</v>
      </c>
      <c r="M5" s="40">
        <f t="shared" ref="M5:M504" si="3">J5+K5+L5</f>
        <v>908762.46</v>
      </c>
      <c r="N5" s="39">
        <v>1164729.11</v>
      </c>
      <c r="O5" s="39">
        <v>0.0</v>
      </c>
      <c r="P5" s="39">
        <v>0.0</v>
      </c>
      <c r="Q5" s="40">
        <f t="shared" ref="Q5:Q504" si="4">N5+O5+P5</f>
        <v>1164729.11</v>
      </c>
    </row>
    <row r="6" ht="15.75" customHeight="1">
      <c r="A6" s="38">
        <v>2.0</v>
      </c>
      <c r="B6" s="41">
        <v>0.0</v>
      </c>
      <c r="C6" s="41">
        <v>0.0</v>
      </c>
      <c r="D6" s="41">
        <v>2792809.47</v>
      </c>
      <c r="E6" s="40">
        <f t="shared" si="1"/>
        <v>2792809.47</v>
      </c>
      <c r="F6" s="41">
        <v>0.0</v>
      </c>
      <c r="G6" s="41">
        <v>0.0</v>
      </c>
      <c r="H6" s="41">
        <v>955883.67</v>
      </c>
      <c r="I6" s="40">
        <f t="shared" si="2"/>
        <v>955883.67</v>
      </c>
      <c r="J6" s="41">
        <v>6851740.25</v>
      </c>
      <c r="K6" s="41">
        <v>1004604.2</v>
      </c>
      <c r="L6" s="41">
        <v>0.0</v>
      </c>
      <c r="M6" s="40">
        <f t="shared" si="3"/>
        <v>7856344.45</v>
      </c>
      <c r="N6" s="41">
        <v>854187.76</v>
      </c>
      <c r="O6" s="41">
        <v>422975.3</v>
      </c>
      <c r="P6" s="41">
        <v>0.0</v>
      </c>
      <c r="Q6" s="40">
        <f t="shared" si="4"/>
        <v>1277163.06</v>
      </c>
    </row>
    <row r="7" ht="15.75" customHeight="1">
      <c r="A7" s="38">
        <v>3.0</v>
      </c>
      <c r="B7" s="39">
        <v>207904.75</v>
      </c>
      <c r="C7" s="39">
        <v>0.0</v>
      </c>
      <c r="D7" s="39">
        <v>0.0</v>
      </c>
      <c r="E7" s="40">
        <f t="shared" si="1"/>
        <v>207904.75</v>
      </c>
      <c r="F7" s="39">
        <v>0.0</v>
      </c>
      <c r="G7" s="39">
        <v>0.0</v>
      </c>
      <c r="H7" s="39">
        <v>0.0</v>
      </c>
      <c r="I7" s="40">
        <f t="shared" si="2"/>
        <v>0</v>
      </c>
      <c r="J7" s="39">
        <v>155043.68</v>
      </c>
      <c r="K7" s="39">
        <v>0.0</v>
      </c>
      <c r="L7" s="39">
        <v>0.0</v>
      </c>
      <c r="M7" s="40">
        <f t="shared" si="3"/>
        <v>155043.68</v>
      </c>
      <c r="N7" s="39">
        <v>0.0</v>
      </c>
      <c r="O7" s="39">
        <v>0.0</v>
      </c>
      <c r="P7" s="39">
        <v>0.0</v>
      </c>
      <c r="Q7" s="40">
        <f t="shared" si="4"/>
        <v>0</v>
      </c>
    </row>
    <row r="8" ht="15.75" customHeight="1">
      <c r="A8" s="38">
        <v>4.0</v>
      </c>
      <c r="B8" s="41">
        <v>0.0</v>
      </c>
      <c r="C8" s="41">
        <v>0.0</v>
      </c>
      <c r="D8" s="41">
        <v>0.0</v>
      </c>
      <c r="E8" s="40">
        <f t="shared" si="1"/>
        <v>0</v>
      </c>
      <c r="F8" s="41">
        <v>0.0</v>
      </c>
      <c r="G8" s="41">
        <v>402139.43</v>
      </c>
      <c r="H8" s="41">
        <v>0.0</v>
      </c>
      <c r="I8" s="40">
        <f t="shared" si="2"/>
        <v>402139.43</v>
      </c>
      <c r="J8" s="41">
        <v>0.0</v>
      </c>
      <c r="K8" s="41">
        <v>605155.92</v>
      </c>
      <c r="L8" s="41">
        <v>0.0</v>
      </c>
      <c r="M8" s="40">
        <f t="shared" si="3"/>
        <v>605155.92</v>
      </c>
      <c r="N8" s="41">
        <v>501554.92</v>
      </c>
      <c r="O8" s="41">
        <v>42540.74</v>
      </c>
      <c r="P8" s="41">
        <v>0.0</v>
      </c>
      <c r="Q8" s="40">
        <f t="shared" si="4"/>
        <v>544095.66</v>
      </c>
    </row>
    <row r="9" ht="15.75" customHeight="1">
      <c r="A9" s="38">
        <v>5.0</v>
      </c>
      <c r="B9" s="39">
        <v>0.0</v>
      </c>
      <c r="C9" s="39">
        <v>0.0</v>
      </c>
      <c r="D9" s="39">
        <v>0.0</v>
      </c>
      <c r="E9" s="40">
        <f t="shared" si="1"/>
        <v>0</v>
      </c>
      <c r="F9" s="39">
        <v>3109387.73</v>
      </c>
      <c r="G9" s="39">
        <v>0.0</v>
      </c>
      <c r="H9" s="39">
        <v>1852901.95</v>
      </c>
      <c r="I9" s="40">
        <f t="shared" si="2"/>
        <v>4962289.68</v>
      </c>
      <c r="J9" s="39">
        <v>94813.38</v>
      </c>
      <c r="K9" s="39">
        <v>514623.87</v>
      </c>
      <c r="L9" s="39">
        <v>6664581.82</v>
      </c>
      <c r="M9" s="40">
        <f t="shared" si="3"/>
        <v>7274019.07</v>
      </c>
      <c r="N9" s="39">
        <v>0.0</v>
      </c>
      <c r="O9" s="39">
        <v>0.0</v>
      </c>
      <c r="P9" s="39">
        <v>0.0</v>
      </c>
      <c r="Q9" s="40">
        <f t="shared" si="4"/>
        <v>0</v>
      </c>
    </row>
    <row r="10" ht="15.75" customHeight="1">
      <c r="A10" s="38">
        <v>6.0</v>
      </c>
      <c r="B10" s="41">
        <v>0.0</v>
      </c>
      <c r="C10" s="41">
        <v>812782.29</v>
      </c>
      <c r="D10" s="41">
        <v>0.0</v>
      </c>
      <c r="E10" s="40">
        <f t="shared" si="1"/>
        <v>812782.29</v>
      </c>
      <c r="F10" s="41">
        <v>0.0</v>
      </c>
      <c r="G10" s="41">
        <v>244435.04</v>
      </c>
      <c r="H10" s="41">
        <v>0.0</v>
      </c>
      <c r="I10" s="40">
        <f t="shared" si="2"/>
        <v>244435.04</v>
      </c>
      <c r="J10" s="41">
        <v>532539.8</v>
      </c>
      <c r="K10" s="41">
        <v>94452.13</v>
      </c>
      <c r="L10" s="41">
        <v>0.0</v>
      </c>
      <c r="M10" s="40">
        <f t="shared" si="3"/>
        <v>626991.93</v>
      </c>
      <c r="N10" s="41">
        <v>0.0</v>
      </c>
      <c r="O10" s="41">
        <v>150861.51</v>
      </c>
      <c r="P10" s="41">
        <v>3704539.42</v>
      </c>
      <c r="Q10" s="40">
        <f t="shared" si="4"/>
        <v>3855400.93</v>
      </c>
    </row>
    <row r="11" ht="15.75" customHeight="1">
      <c r="A11" s="38">
        <v>7.0</v>
      </c>
      <c r="B11" s="39">
        <v>0.0</v>
      </c>
      <c r="C11" s="39">
        <v>164471.06</v>
      </c>
      <c r="D11" s="39">
        <v>0.0</v>
      </c>
      <c r="E11" s="40">
        <f t="shared" si="1"/>
        <v>164471.06</v>
      </c>
      <c r="F11" s="39">
        <v>0.0</v>
      </c>
      <c r="G11" s="39">
        <v>0.0</v>
      </c>
      <c r="H11" s="39">
        <v>0.0</v>
      </c>
      <c r="I11" s="40">
        <f t="shared" si="2"/>
        <v>0</v>
      </c>
      <c r="J11" s="39">
        <v>1968831.76</v>
      </c>
      <c r="K11" s="39">
        <v>45353.37</v>
      </c>
      <c r="L11" s="39">
        <v>0.0</v>
      </c>
      <c r="M11" s="40">
        <f t="shared" si="3"/>
        <v>2014185.13</v>
      </c>
      <c r="N11" s="39">
        <v>0.0</v>
      </c>
      <c r="O11" s="39">
        <v>0.0</v>
      </c>
      <c r="P11" s="39">
        <v>1388738.42</v>
      </c>
      <c r="Q11" s="40">
        <f t="shared" si="4"/>
        <v>1388738.42</v>
      </c>
    </row>
    <row r="12" ht="15.75" customHeight="1">
      <c r="A12" s="38">
        <v>8.0</v>
      </c>
      <c r="B12" s="41">
        <v>2483486.15</v>
      </c>
      <c r="C12" s="41">
        <v>0.0</v>
      </c>
      <c r="D12" s="41">
        <v>0.0</v>
      </c>
      <c r="E12" s="40">
        <f t="shared" si="1"/>
        <v>2483486.15</v>
      </c>
      <c r="F12" s="41">
        <v>0.0</v>
      </c>
      <c r="G12" s="41">
        <v>240200.51</v>
      </c>
      <c r="H12" s="41">
        <v>1774404.04</v>
      </c>
      <c r="I12" s="40">
        <f t="shared" si="2"/>
        <v>2014604.55</v>
      </c>
      <c r="J12" s="41">
        <v>1263120.49</v>
      </c>
      <c r="K12" s="41">
        <v>327035.88</v>
      </c>
      <c r="L12" s="41">
        <v>0.0</v>
      </c>
      <c r="M12" s="40">
        <f t="shared" si="3"/>
        <v>1590156.37</v>
      </c>
      <c r="N12" s="41">
        <v>0.0</v>
      </c>
      <c r="O12" s="41">
        <v>336113.1</v>
      </c>
      <c r="P12" s="41">
        <v>0.0</v>
      </c>
      <c r="Q12" s="40">
        <f t="shared" si="4"/>
        <v>336113.1</v>
      </c>
    </row>
    <row r="13" ht="15.75" customHeight="1">
      <c r="A13" s="38">
        <v>9.0</v>
      </c>
      <c r="B13" s="39">
        <v>0.0</v>
      </c>
      <c r="C13" s="39">
        <v>0.0</v>
      </c>
      <c r="D13" s="39">
        <v>0.0</v>
      </c>
      <c r="E13" s="40">
        <f t="shared" si="1"/>
        <v>0</v>
      </c>
      <c r="F13" s="39">
        <v>0.0</v>
      </c>
      <c r="G13" s="39">
        <v>0.0</v>
      </c>
      <c r="H13" s="39">
        <v>0.0</v>
      </c>
      <c r="I13" s="40">
        <f t="shared" si="2"/>
        <v>0</v>
      </c>
      <c r="J13" s="39">
        <v>1790227.58</v>
      </c>
      <c r="K13" s="39">
        <v>0.0</v>
      </c>
      <c r="L13" s="39">
        <v>0.0</v>
      </c>
      <c r="M13" s="40">
        <f t="shared" si="3"/>
        <v>1790227.58</v>
      </c>
      <c r="N13" s="39">
        <v>0.0</v>
      </c>
      <c r="O13" s="39">
        <v>187125.32</v>
      </c>
      <c r="P13" s="39">
        <v>4278194.81</v>
      </c>
      <c r="Q13" s="40">
        <f t="shared" si="4"/>
        <v>4465320.13</v>
      </c>
    </row>
    <row r="14" ht="15.75" customHeight="1">
      <c r="A14" s="38">
        <v>10.0</v>
      </c>
      <c r="B14" s="41">
        <v>2672506.42</v>
      </c>
      <c r="C14" s="41">
        <v>300164.98</v>
      </c>
      <c r="D14" s="41">
        <v>0.0</v>
      </c>
      <c r="E14" s="40">
        <f t="shared" si="1"/>
        <v>2972671.4</v>
      </c>
      <c r="F14" s="41">
        <v>1760354.77</v>
      </c>
      <c r="G14" s="41">
        <v>322477.24</v>
      </c>
      <c r="H14" s="41">
        <v>0.0</v>
      </c>
      <c r="I14" s="40">
        <f t="shared" si="2"/>
        <v>2082832.01</v>
      </c>
      <c r="J14" s="41">
        <v>0.0</v>
      </c>
      <c r="K14" s="41">
        <v>0.0</v>
      </c>
      <c r="L14" s="41">
        <v>0.0</v>
      </c>
      <c r="M14" s="40">
        <f t="shared" si="3"/>
        <v>0</v>
      </c>
      <c r="N14" s="41">
        <v>0.0</v>
      </c>
      <c r="O14" s="41">
        <v>0.0</v>
      </c>
      <c r="P14" s="41">
        <v>0.0</v>
      </c>
      <c r="Q14" s="40">
        <f t="shared" si="4"/>
        <v>0</v>
      </c>
    </row>
    <row r="15" ht="15.75" customHeight="1">
      <c r="A15" s="38">
        <v>11.0</v>
      </c>
      <c r="B15" s="39">
        <v>6261186.29</v>
      </c>
      <c r="C15" s="39">
        <v>451191.8</v>
      </c>
      <c r="D15" s="39">
        <v>0.0</v>
      </c>
      <c r="E15" s="40">
        <f t="shared" si="1"/>
        <v>6712378.09</v>
      </c>
      <c r="F15" s="39">
        <v>0.0</v>
      </c>
      <c r="G15" s="39">
        <v>0.0</v>
      </c>
      <c r="H15" s="39">
        <v>0.0</v>
      </c>
      <c r="I15" s="40">
        <f t="shared" si="2"/>
        <v>0</v>
      </c>
      <c r="J15" s="39">
        <v>786853.95</v>
      </c>
      <c r="K15" s="39">
        <v>0.0</v>
      </c>
      <c r="L15" s="39">
        <v>2.056579377E7</v>
      </c>
      <c r="M15" s="40">
        <f t="shared" si="3"/>
        <v>21352647.72</v>
      </c>
      <c r="N15" s="39">
        <v>0.0</v>
      </c>
      <c r="O15" s="39">
        <v>343516.61</v>
      </c>
      <c r="P15" s="39">
        <v>0.0</v>
      </c>
      <c r="Q15" s="40">
        <f t="shared" si="4"/>
        <v>343516.61</v>
      </c>
    </row>
    <row r="16" ht="15.75" customHeight="1">
      <c r="A16" s="38">
        <v>12.0</v>
      </c>
      <c r="B16" s="41">
        <v>0.0</v>
      </c>
      <c r="C16" s="41">
        <v>0.0</v>
      </c>
      <c r="D16" s="41">
        <v>0.0</v>
      </c>
      <c r="E16" s="40">
        <f t="shared" si="1"/>
        <v>0</v>
      </c>
      <c r="F16" s="41">
        <v>0.0</v>
      </c>
      <c r="G16" s="41">
        <v>1450848.11</v>
      </c>
      <c r="H16" s="41">
        <v>0.0</v>
      </c>
      <c r="I16" s="40">
        <f t="shared" si="2"/>
        <v>1450848.11</v>
      </c>
      <c r="J16" s="41">
        <v>0.0</v>
      </c>
      <c r="K16" s="41">
        <v>29452.18</v>
      </c>
      <c r="L16" s="41">
        <v>1878516.27</v>
      </c>
      <c r="M16" s="40">
        <f t="shared" si="3"/>
        <v>1907968.45</v>
      </c>
      <c r="N16" s="41">
        <v>0.0</v>
      </c>
      <c r="O16" s="41">
        <v>609448.52</v>
      </c>
      <c r="P16" s="41">
        <v>0.0</v>
      </c>
      <c r="Q16" s="40">
        <f t="shared" si="4"/>
        <v>609448.52</v>
      </c>
    </row>
    <row r="17" ht="15.75" customHeight="1">
      <c r="A17" s="38">
        <v>13.0</v>
      </c>
      <c r="B17" s="39">
        <v>0.0</v>
      </c>
      <c r="C17" s="39">
        <v>0.0</v>
      </c>
      <c r="D17" s="39">
        <v>5406960.92</v>
      </c>
      <c r="E17" s="40">
        <f t="shared" si="1"/>
        <v>5406960.92</v>
      </c>
      <c r="F17" s="39">
        <v>0.0</v>
      </c>
      <c r="G17" s="39">
        <v>0.0</v>
      </c>
      <c r="H17" s="39">
        <v>0.0</v>
      </c>
      <c r="I17" s="40">
        <f t="shared" si="2"/>
        <v>0</v>
      </c>
      <c r="J17" s="39">
        <v>0.0</v>
      </c>
      <c r="K17" s="39">
        <v>955944.94</v>
      </c>
      <c r="L17" s="39">
        <v>0.0</v>
      </c>
      <c r="M17" s="40">
        <f t="shared" si="3"/>
        <v>955944.94</v>
      </c>
      <c r="N17" s="39">
        <v>4185006.41</v>
      </c>
      <c r="O17" s="39">
        <v>181090.06</v>
      </c>
      <c r="P17" s="39">
        <v>0.0</v>
      </c>
      <c r="Q17" s="40">
        <f t="shared" si="4"/>
        <v>4366096.47</v>
      </c>
    </row>
    <row r="18" ht="15.75" customHeight="1">
      <c r="A18" s="38">
        <v>14.0</v>
      </c>
      <c r="B18" s="41">
        <v>0.0</v>
      </c>
      <c r="C18" s="41">
        <v>0.0</v>
      </c>
      <c r="D18" s="41">
        <v>0.0</v>
      </c>
      <c r="E18" s="40">
        <f t="shared" si="1"/>
        <v>0</v>
      </c>
      <c r="F18" s="41">
        <v>0.0</v>
      </c>
      <c r="G18" s="41">
        <v>0.0</v>
      </c>
      <c r="H18" s="41">
        <v>0.0</v>
      </c>
      <c r="I18" s="40">
        <f t="shared" si="2"/>
        <v>0</v>
      </c>
      <c r="J18" s="41">
        <v>0.0</v>
      </c>
      <c r="K18" s="41">
        <v>140603.26</v>
      </c>
      <c r="L18" s="41">
        <v>7787154.11</v>
      </c>
      <c r="M18" s="40">
        <f t="shared" si="3"/>
        <v>7927757.37</v>
      </c>
      <c r="N18" s="41">
        <v>6196741.51</v>
      </c>
      <c r="O18" s="41">
        <v>338594.93</v>
      </c>
      <c r="P18" s="41">
        <v>4562266.92</v>
      </c>
      <c r="Q18" s="40">
        <f t="shared" si="4"/>
        <v>11097603.36</v>
      </c>
    </row>
    <row r="19" ht="15.75" customHeight="1">
      <c r="A19" s="38">
        <v>15.0</v>
      </c>
      <c r="B19" s="39">
        <v>3320420.31</v>
      </c>
      <c r="C19" s="39">
        <v>434205.7</v>
      </c>
      <c r="D19" s="39">
        <v>0.0</v>
      </c>
      <c r="E19" s="40">
        <f t="shared" si="1"/>
        <v>3754626.01</v>
      </c>
      <c r="F19" s="39">
        <v>0.0</v>
      </c>
      <c r="G19" s="39">
        <v>1175046.18</v>
      </c>
      <c r="H19" s="39">
        <v>0.0</v>
      </c>
      <c r="I19" s="40">
        <f t="shared" si="2"/>
        <v>1175046.18</v>
      </c>
      <c r="J19" s="39">
        <v>486121.03</v>
      </c>
      <c r="K19" s="39">
        <v>0.0</v>
      </c>
      <c r="L19" s="39">
        <v>0.0</v>
      </c>
      <c r="M19" s="40">
        <f t="shared" si="3"/>
        <v>486121.03</v>
      </c>
      <c r="N19" s="39">
        <v>878651.03</v>
      </c>
      <c r="O19" s="39">
        <v>234511.58</v>
      </c>
      <c r="P19" s="39">
        <v>0.0</v>
      </c>
      <c r="Q19" s="40">
        <f t="shared" si="4"/>
        <v>1113162.61</v>
      </c>
    </row>
    <row r="20" ht="15.75" customHeight="1">
      <c r="A20" s="38">
        <v>16.0</v>
      </c>
      <c r="B20" s="41">
        <v>1064550.38</v>
      </c>
      <c r="C20" s="41">
        <v>0.0</v>
      </c>
      <c r="D20" s="41">
        <v>0.0</v>
      </c>
      <c r="E20" s="40">
        <f t="shared" si="1"/>
        <v>1064550.38</v>
      </c>
      <c r="F20" s="41">
        <v>4800483.42</v>
      </c>
      <c r="G20" s="41">
        <v>425129.19</v>
      </c>
      <c r="H20" s="41">
        <v>0.0</v>
      </c>
      <c r="I20" s="40">
        <f t="shared" si="2"/>
        <v>5225612.61</v>
      </c>
      <c r="J20" s="41">
        <v>2242015.31</v>
      </c>
      <c r="K20" s="41">
        <v>158023.56</v>
      </c>
      <c r="L20" s="41">
        <v>0.0</v>
      </c>
      <c r="M20" s="40">
        <f t="shared" si="3"/>
        <v>2400038.87</v>
      </c>
      <c r="N20" s="41">
        <v>0.0</v>
      </c>
      <c r="O20" s="41">
        <v>647534.38</v>
      </c>
      <c r="P20" s="41">
        <v>5975906.26</v>
      </c>
      <c r="Q20" s="40">
        <f t="shared" si="4"/>
        <v>6623440.64</v>
      </c>
    </row>
    <row r="21" ht="15.75" customHeight="1">
      <c r="A21" s="38">
        <v>17.0</v>
      </c>
      <c r="B21" s="39">
        <v>511172.18</v>
      </c>
      <c r="C21" s="39">
        <v>0.0</v>
      </c>
      <c r="D21" s="39">
        <v>7006815.59</v>
      </c>
      <c r="E21" s="40">
        <f t="shared" si="1"/>
        <v>7517987.77</v>
      </c>
      <c r="F21" s="39">
        <v>0.0</v>
      </c>
      <c r="G21" s="39">
        <v>481041.25</v>
      </c>
      <c r="H21" s="39">
        <v>0.0</v>
      </c>
      <c r="I21" s="40">
        <f t="shared" si="2"/>
        <v>481041.25</v>
      </c>
      <c r="J21" s="39">
        <v>0.0</v>
      </c>
      <c r="K21" s="39">
        <v>516507.39</v>
      </c>
      <c r="L21" s="39">
        <v>0.0</v>
      </c>
      <c r="M21" s="40">
        <f t="shared" si="3"/>
        <v>516507.39</v>
      </c>
      <c r="N21" s="39">
        <v>0.0</v>
      </c>
      <c r="O21" s="39">
        <v>0.0</v>
      </c>
      <c r="P21" s="39">
        <v>1076983.01</v>
      </c>
      <c r="Q21" s="40">
        <f t="shared" si="4"/>
        <v>1076983.01</v>
      </c>
    </row>
    <row r="22" ht="15.75" customHeight="1">
      <c r="A22" s="38">
        <v>18.0</v>
      </c>
      <c r="B22" s="41">
        <v>1.048272169E7</v>
      </c>
      <c r="C22" s="41">
        <v>2039681.26</v>
      </c>
      <c r="D22" s="41">
        <v>0.0</v>
      </c>
      <c r="E22" s="40">
        <f t="shared" si="1"/>
        <v>12522402.95</v>
      </c>
      <c r="F22" s="41">
        <v>867923.79</v>
      </c>
      <c r="G22" s="41">
        <v>0.0</v>
      </c>
      <c r="H22" s="41">
        <v>1429792.23</v>
      </c>
      <c r="I22" s="40">
        <f t="shared" si="2"/>
        <v>2297716.02</v>
      </c>
      <c r="J22" s="41">
        <v>0.0</v>
      </c>
      <c r="K22" s="41">
        <v>674501.39</v>
      </c>
      <c r="L22" s="41">
        <v>2623095.74</v>
      </c>
      <c r="M22" s="40">
        <f t="shared" si="3"/>
        <v>3297597.13</v>
      </c>
      <c r="N22" s="41">
        <v>198752.29</v>
      </c>
      <c r="O22" s="41">
        <v>483351.79</v>
      </c>
      <c r="P22" s="41">
        <v>0.0</v>
      </c>
      <c r="Q22" s="40">
        <f t="shared" si="4"/>
        <v>682104.08</v>
      </c>
    </row>
    <row r="23" ht="15.75" customHeight="1">
      <c r="A23" s="38">
        <v>19.0</v>
      </c>
      <c r="B23" s="39">
        <v>0.0</v>
      </c>
      <c r="C23" s="39">
        <v>234758.93</v>
      </c>
      <c r="D23" s="39">
        <v>1.898061378E7</v>
      </c>
      <c r="E23" s="40">
        <f t="shared" si="1"/>
        <v>19215372.71</v>
      </c>
      <c r="F23" s="39">
        <v>0.0</v>
      </c>
      <c r="G23" s="39">
        <v>0.0</v>
      </c>
      <c r="H23" s="39">
        <v>0.0</v>
      </c>
      <c r="I23" s="40">
        <f t="shared" si="2"/>
        <v>0</v>
      </c>
      <c r="J23" s="39">
        <v>0.0</v>
      </c>
      <c r="K23" s="39">
        <v>995982.9</v>
      </c>
      <c r="L23" s="39">
        <v>0.0</v>
      </c>
      <c r="M23" s="40">
        <f t="shared" si="3"/>
        <v>995982.9</v>
      </c>
      <c r="N23" s="39">
        <v>2021105.26</v>
      </c>
      <c r="O23" s="39">
        <v>0.0</v>
      </c>
      <c r="P23" s="39">
        <v>0.0</v>
      </c>
      <c r="Q23" s="40">
        <f t="shared" si="4"/>
        <v>2021105.26</v>
      </c>
    </row>
    <row r="24" ht="15.75" customHeight="1">
      <c r="A24" s="38">
        <v>20.0</v>
      </c>
      <c r="B24" s="41">
        <v>635315.55</v>
      </c>
      <c r="C24" s="41">
        <v>0.0</v>
      </c>
      <c r="D24" s="41">
        <v>2073591.36</v>
      </c>
      <c r="E24" s="40">
        <f t="shared" si="1"/>
        <v>2708906.91</v>
      </c>
      <c r="F24" s="41">
        <v>0.0</v>
      </c>
      <c r="G24" s="41">
        <v>733755.74</v>
      </c>
      <c r="H24" s="41">
        <v>0.0</v>
      </c>
      <c r="I24" s="40">
        <f t="shared" si="2"/>
        <v>733755.74</v>
      </c>
      <c r="J24" s="41">
        <v>0.0</v>
      </c>
      <c r="K24" s="41">
        <v>0.0</v>
      </c>
      <c r="L24" s="41">
        <v>0.0</v>
      </c>
      <c r="M24" s="40">
        <f t="shared" si="3"/>
        <v>0</v>
      </c>
      <c r="N24" s="41">
        <v>0.0</v>
      </c>
      <c r="O24" s="41">
        <v>179101.87</v>
      </c>
      <c r="P24" s="41">
        <v>0.0</v>
      </c>
      <c r="Q24" s="40">
        <f t="shared" si="4"/>
        <v>179101.87</v>
      </c>
    </row>
    <row r="25" ht="15.75" customHeight="1">
      <c r="A25" s="38">
        <v>21.0</v>
      </c>
      <c r="B25" s="39">
        <v>0.0</v>
      </c>
      <c r="C25" s="39">
        <v>0.0</v>
      </c>
      <c r="D25" s="39">
        <v>7404660.73</v>
      </c>
      <c r="E25" s="40">
        <f t="shared" si="1"/>
        <v>7404660.73</v>
      </c>
      <c r="F25" s="39">
        <v>441094.83</v>
      </c>
      <c r="G25" s="39">
        <v>0.0</v>
      </c>
      <c r="H25" s="39">
        <v>0.0</v>
      </c>
      <c r="I25" s="40">
        <f t="shared" si="2"/>
        <v>441094.83</v>
      </c>
      <c r="J25" s="39">
        <v>567063.25</v>
      </c>
      <c r="K25" s="39">
        <v>0.0</v>
      </c>
      <c r="L25" s="39">
        <v>1128366.92</v>
      </c>
      <c r="M25" s="40">
        <f t="shared" si="3"/>
        <v>1695430.17</v>
      </c>
      <c r="N25" s="39">
        <v>0.0</v>
      </c>
      <c r="O25" s="39">
        <v>0.0</v>
      </c>
      <c r="P25" s="39">
        <v>0.0</v>
      </c>
      <c r="Q25" s="40">
        <f t="shared" si="4"/>
        <v>0</v>
      </c>
    </row>
    <row r="26" ht="15.75" customHeight="1">
      <c r="A26" s="38">
        <v>22.0</v>
      </c>
      <c r="B26" s="41">
        <v>0.0</v>
      </c>
      <c r="C26" s="41">
        <v>171214.81</v>
      </c>
      <c r="D26" s="41">
        <v>0.0</v>
      </c>
      <c r="E26" s="40">
        <f t="shared" si="1"/>
        <v>171214.81</v>
      </c>
      <c r="F26" s="41">
        <v>0.0</v>
      </c>
      <c r="G26" s="41">
        <v>0.0</v>
      </c>
      <c r="H26" s="41">
        <v>0.0</v>
      </c>
      <c r="I26" s="40">
        <f t="shared" si="2"/>
        <v>0</v>
      </c>
      <c r="J26" s="41">
        <v>0.0</v>
      </c>
      <c r="K26" s="41">
        <v>214058.24</v>
      </c>
      <c r="L26" s="41">
        <v>0.0</v>
      </c>
      <c r="M26" s="40">
        <f t="shared" si="3"/>
        <v>214058.24</v>
      </c>
      <c r="N26" s="41">
        <v>0.0</v>
      </c>
      <c r="O26" s="41">
        <v>621923.73</v>
      </c>
      <c r="P26" s="41">
        <v>0.0</v>
      </c>
      <c r="Q26" s="40">
        <f t="shared" si="4"/>
        <v>621923.73</v>
      </c>
    </row>
    <row r="27" ht="15.75" customHeight="1">
      <c r="A27" s="38">
        <v>23.0</v>
      </c>
      <c r="B27" s="39">
        <v>596341.23</v>
      </c>
      <c r="C27" s="39">
        <v>0.0</v>
      </c>
      <c r="D27" s="39">
        <v>0.0</v>
      </c>
      <c r="E27" s="40">
        <f t="shared" si="1"/>
        <v>596341.23</v>
      </c>
      <c r="F27" s="39">
        <v>806817.75</v>
      </c>
      <c r="G27" s="39">
        <v>0.0</v>
      </c>
      <c r="H27" s="39">
        <v>0.0</v>
      </c>
      <c r="I27" s="40">
        <f t="shared" si="2"/>
        <v>806817.75</v>
      </c>
      <c r="J27" s="39">
        <v>0.0</v>
      </c>
      <c r="K27" s="39">
        <v>471773.93</v>
      </c>
      <c r="L27" s="39">
        <v>0.0</v>
      </c>
      <c r="M27" s="40">
        <f t="shared" si="3"/>
        <v>471773.93</v>
      </c>
      <c r="N27" s="39">
        <v>0.0</v>
      </c>
      <c r="O27" s="39">
        <v>251418.6</v>
      </c>
      <c r="P27" s="39">
        <v>0.0</v>
      </c>
      <c r="Q27" s="40">
        <f t="shared" si="4"/>
        <v>251418.6</v>
      </c>
    </row>
    <row r="28" ht="15.75" customHeight="1">
      <c r="A28" s="38">
        <v>24.0</v>
      </c>
      <c r="B28" s="41">
        <v>8883450.41</v>
      </c>
      <c r="C28" s="41">
        <v>0.0</v>
      </c>
      <c r="D28" s="41">
        <v>0.0</v>
      </c>
      <c r="E28" s="40">
        <f t="shared" si="1"/>
        <v>8883450.41</v>
      </c>
      <c r="F28" s="41">
        <v>1289410.91</v>
      </c>
      <c r="G28" s="41">
        <v>468592.4</v>
      </c>
      <c r="H28" s="41">
        <v>5746827.42</v>
      </c>
      <c r="I28" s="40">
        <f t="shared" si="2"/>
        <v>7504830.73</v>
      </c>
      <c r="J28" s="41">
        <v>0.0</v>
      </c>
      <c r="K28" s="41">
        <v>0.0</v>
      </c>
      <c r="L28" s="41">
        <v>533624.95</v>
      </c>
      <c r="M28" s="40">
        <f t="shared" si="3"/>
        <v>533624.95</v>
      </c>
      <c r="N28" s="41">
        <v>0.0</v>
      </c>
      <c r="O28" s="41">
        <v>43662.34</v>
      </c>
      <c r="P28" s="41">
        <v>0.0</v>
      </c>
      <c r="Q28" s="40">
        <f t="shared" si="4"/>
        <v>43662.34</v>
      </c>
    </row>
    <row r="29" ht="15.75" customHeight="1">
      <c r="A29" s="38">
        <v>25.0</v>
      </c>
      <c r="B29" s="39">
        <v>125473.26</v>
      </c>
      <c r="C29" s="39">
        <v>0.0</v>
      </c>
      <c r="D29" s="39">
        <v>0.0</v>
      </c>
      <c r="E29" s="40">
        <f t="shared" si="1"/>
        <v>125473.26</v>
      </c>
      <c r="F29" s="39">
        <v>0.0</v>
      </c>
      <c r="G29" s="39">
        <v>108335.24</v>
      </c>
      <c r="H29" s="39">
        <v>0.0</v>
      </c>
      <c r="I29" s="40">
        <f t="shared" si="2"/>
        <v>108335.24</v>
      </c>
      <c r="J29" s="39">
        <v>1470800.94</v>
      </c>
      <c r="K29" s="39">
        <v>57303.68</v>
      </c>
      <c r="L29" s="39">
        <v>0.0</v>
      </c>
      <c r="M29" s="40">
        <f t="shared" si="3"/>
        <v>1528104.62</v>
      </c>
      <c r="N29" s="39">
        <v>0.0</v>
      </c>
      <c r="O29" s="39">
        <v>0.0</v>
      </c>
      <c r="P29" s="39">
        <v>0.0</v>
      </c>
      <c r="Q29" s="40">
        <f t="shared" si="4"/>
        <v>0</v>
      </c>
    </row>
    <row r="30" ht="15.75" customHeight="1">
      <c r="A30" s="38">
        <v>26.0</v>
      </c>
      <c r="B30" s="41">
        <v>0.0</v>
      </c>
      <c r="C30" s="41">
        <v>569707.08</v>
      </c>
      <c r="D30" s="41">
        <v>1502525.08</v>
      </c>
      <c r="E30" s="40">
        <f t="shared" si="1"/>
        <v>2072232.16</v>
      </c>
      <c r="F30" s="41">
        <v>0.0</v>
      </c>
      <c r="G30" s="41">
        <v>370081.03</v>
      </c>
      <c r="H30" s="41">
        <v>0.0</v>
      </c>
      <c r="I30" s="40">
        <f t="shared" si="2"/>
        <v>370081.03</v>
      </c>
      <c r="J30" s="41">
        <v>0.0</v>
      </c>
      <c r="K30" s="41">
        <v>218157.47</v>
      </c>
      <c r="L30" s="41">
        <v>0.0</v>
      </c>
      <c r="M30" s="40">
        <f t="shared" si="3"/>
        <v>218157.47</v>
      </c>
      <c r="N30" s="41">
        <v>624323.32</v>
      </c>
      <c r="O30" s="41">
        <v>450090.04</v>
      </c>
      <c r="P30" s="41">
        <v>0.0</v>
      </c>
      <c r="Q30" s="40">
        <f t="shared" si="4"/>
        <v>1074413.36</v>
      </c>
    </row>
    <row r="31" ht="15.75" customHeight="1">
      <c r="A31" s="38">
        <v>27.0</v>
      </c>
      <c r="B31" s="39">
        <v>0.0</v>
      </c>
      <c r="C31" s="39">
        <v>171100.45</v>
      </c>
      <c r="D31" s="39">
        <v>0.0</v>
      </c>
      <c r="E31" s="40">
        <f t="shared" si="1"/>
        <v>171100.45</v>
      </c>
      <c r="F31" s="39">
        <v>7264673.87</v>
      </c>
      <c r="G31" s="39">
        <v>0.0</v>
      </c>
      <c r="H31" s="39">
        <v>0.0</v>
      </c>
      <c r="I31" s="40">
        <f t="shared" si="2"/>
        <v>7264673.87</v>
      </c>
      <c r="J31" s="39">
        <v>0.0</v>
      </c>
      <c r="K31" s="39">
        <v>123997.02</v>
      </c>
      <c r="L31" s="39">
        <v>0.0</v>
      </c>
      <c r="M31" s="40">
        <f t="shared" si="3"/>
        <v>123997.02</v>
      </c>
      <c r="N31" s="39">
        <v>73370.42</v>
      </c>
      <c r="O31" s="39">
        <v>0.0</v>
      </c>
      <c r="P31" s="39">
        <v>0.0</v>
      </c>
      <c r="Q31" s="40">
        <f t="shared" si="4"/>
        <v>73370.42</v>
      </c>
    </row>
    <row r="32" ht="15.75" customHeight="1">
      <c r="A32" s="38">
        <v>28.0</v>
      </c>
      <c r="B32" s="41">
        <v>0.0</v>
      </c>
      <c r="C32" s="41">
        <v>0.0</v>
      </c>
      <c r="D32" s="41">
        <v>0.0</v>
      </c>
      <c r="E32" s="40">
        <f t="shared" si="1"/>
        <v>0</v>
      </c>
      <c r="F32" s="41">
        <v>0.0</v>
      </c>
      <c r="G32" s="41">
        <v>307128.98</v>
      </c>
      <c r="H32" s="41">
        <v>0.0</v>
      </c>
      <c r="I32" s="40">
        <f t="shared" si="2"/>
        <v>307128.98</v>
      </c>
      <c r="J32" s="41">
        <v>2553837.37</v>
      </c>
      <c r="K32" s="41">
        <v>0.0</v>
      </c>
      <c r="L32" s="41">
        <v>0.0</v>
      </c>
      <c r="M32" s="40">
        <f t="shared" si="3"/>
        <v>2553837.37</v>
      </c>
      <c r="N32" s="41">
        <v>0.0</v>
      </c>
      <c r="O32" s="41">
        <v>0.0</v>
      </c>
      <c r="P32" s="41">
        <v>0.0</v>
      </c>
      <c r="Q32" s="40">
        <f t="shared" si="4"/>
        <v>0</v>
      </c>
    </row>
    <row r="33" ht="15.75" customHeight="1">
      <c r="A33" s="38">
        <v>29.0</v>
      </c>
      <c r="B33" s="39">
        <v>281178.26</v>
      </c>
      <c r="C33" s="39">
        <v>0.0</v>
      </c>
      <c r="D33" s="39">
        <v>833886.25</v>
      </c>
      <c r="E33" s="40">
        <f t="shared" si="1"/>
        <v>1115064.51</v>
      </c>
      <c r="F33" s="39">
        <v>4779232.37</v>
      </c>
      <c r="G33" s="39">
        <v>563832.14</v>
      </c>
      <c r="H33" s="39">
        <v>0.0</v>
      </c>
      <c r="I33" s="40">
        <f t="shared" si="2"/>
        <v>5343064.51</v>
      </c>
      <c r="J33" s="39">
        <v>0.0</v>
      </c>
      <c r="K33" s="39">
        <v>174344.25</v>
      </c>
      <c r="L33" s="39">
        <v>0.0</v>
      </c>
      <c r="M33" s="40">
        <f t="shared" si="3"/>
        <v>174344.25</v>
      </c>
      <c r="N33" s="39">
        <v>0.0</v>
      </c>
      <c r="O33" s="39">
        <v>80292.35</v>
      </c>
      <c r="P33" s="39">
        <v>0.0</v>
      </c>
      <c r="Q33" s="40">
        <f t="shared" si="4"/>
        <v>80292.35</v>
      </c>
    </row>
    <row r="34" ht="15.75" customHeight="1">
      <c r="A34" s="38">
        <v>30.0</v>
      </c>
      <c r="B34" s="41">
        <v>0.0</v>
      </c>
      <c r="C34" s="41">
        <v>694561.39</v>
      </c>
      <c r="D34" s="41">
        <v>0.0</v>
      </c>
      <c r="E34" s="40">
        <f t="shared" si="1"/>
        <v>694561.39</v>
      </c>
      <c r="F34" s="41">
        <v>554373.76</v>
      </c>
      <c r="G34" s="41">
        <v>0.0</v>
      </c>
      <c r="H34" s="41">
        <v>0.0</v>
      </c>
      <c r="I34" s="40">
        <f t="shared" si="2"/>
        <v>554373.76</v>
      </c>
      <c r="J34" s="41">
        <v>562438.98</v>
      </c>
      <c r="K34" s="41">
        <v>413693.31</v>
      </c>
      <c r="L34" s="41">
        <v>601505.07</v>
      </c>
      <c r="M34" s="40">
        <f t="shared" si="3"/>
        <v>1577637.36</v>
      </c>
      <c r="N34" s="41">
        <v>1757631.39</v>
      </c>
      <c r="O34" s="41">
        <v>0.0</v>
      </c>
      <c r="P34" s="41">
        <v>0.0</v>
      </c>
      <c r="Q34" s="40">
        <f t="shared" si="4"/>
        <v>1757631.39</v>
      </c>
    </row>
    <row r="35" ht="15.75" customHeight="1">
      <c r="A35" s="38">
        <v>31.0</v>
      </c>
      <c r="B35" s="39">
        <v>3796916.99</v>
      </c>
      <c r="C35" s="39">
        <v>0.0</v>
      </c>
      <c r="D35" s="39">
        <v>7746618.39</v>
      </c>
      <c r="E35" s="40">
        <f t="shared" si="1"/>
        <v>11543535.38</v>
      </c>
      <c r="F35" s="39">
        <v>0.0</v>
      </c>
      <c r="G35" s="39">
        <v>553883.15</v>
      </c>
      <c r="H35" s="39">
        <v>2.429372624E7</v>
      </c>
      <c r="I35" s="40">
        <f t="shared" si="2"/>
        <v>24847609.39</v>
      </c>
      <c r="J35" s="39">
        <v>0.0</v>
      </c>
      <c r="K35" s="39">
        <v>90797.65</v>
      </c>
      <c r="L35" s="39">
        <v>0.0</v>
      </c>
      <c r="M35" s="40">
        <f t="shared" si="3"/>
        <v>90797.65</v>
      </c>
      <c r="N35" s="39">
        <v>2037057.01</v>
      </c>
      <c r="O35" s="39">
        <v>0.0</v>
      </c>
      <c r="P35" s="39">
        <v>1.017989742E7</v>
      </c>
      <c r="Q35" s="40">
        <f t="shared" si="4"/>
        <v>12216954.43</v>
      </c>
    </row>
    <row r="36" ht="15.75" customHeight="1">
      <c r="A36" s="38">
        <v>32.0</v>
      </c>
      <c r="B36" s="41">
        <v>199957.8</v>
      </c>
      <c r="C36" s="41">
        <v>1135161.15</v>
      </c>
      <c r="D36" s="41">
        <v>0.0</v>
      </c>
      <c r="E36" s="40">
        <f t="shared" si="1"/>
        <v>1335118.95</v>
      </c>
      <c r="F36" s="41">
        <v>3511011.06</v>
      </c>
      <c r="G36" s="41">
        <v>224076.92</v>
      </c>
      <c r="H36" s="41">
        <v>0.0</v>
      </c>
      <c r="I36" s="40">
        <f t="shared" si="2"/>
        <v>3735087.98</v>
      </c>
      <c r="J36" s="41">
        <v>0.0</v>
      </c>
      <c r="K36" s="41">
        <v>1540954.29</v>
      </c>
      <c r="L36" s="41">
        <v>0.0</v>
      </c>
      <c r="M36" s="40">
        <f t="shared" si="3"/>
        <v>1540954.29</v>
      </c>
      <c r="N36" s="41">
        <v>0.0</v>
      </c>
      <c r="O36" s="41">
        <v>0.0</v>
      </c>
      <c r="P36" s="41">
        <v>0.0</v>
      </c>
      <c r="Q36" s="40">
        <f t="shared" si="4"/>
        <v>0</v>
      </c>
    </row>
    <row r="37" ht="15.75" customHeight="1">
      <c r="A37" s="38">
        <v>33.0</v>
      </c>
      <c r="B37" s="39">
        <v>4343424.88</v>
      </c>
      <c r="C37" s="39">
        <v>1077269.77</v>
      </c>
      <c r="D37" s="39">
        <v>0.0</v>
      </c>
      <c r="E37" s="40">
        <f t="shared" si="1"/>
        <v>5420694.65</v>
      </c>
      <c r="F37" s="39">
        <v>0.0</v>
      </c>
      <c r="G37" s="39">
        <v>0.0</v>
      </c>
      <c r="H37" s="39">
        <v>0.0</v>
      </c>
      <c r="I37" s="40">
        <f t="shared" si="2"/>
        <v>0</v>
      </c>
      <c r="J37" s="39">
        <v>0.0</v>
      </c>
      <c r="K37" s="39">
        <v>0.0</v>
      </c>
      <c r="L37" s="39">
        <v>0.0</v>
      </c>
      <c r="M37" s="40">
        <f t="shared" si="3"/>
        <v>0</v>
      </c>
      <c r="N37" s="39">
        <v>206872.44</v>
      </c>
      <c r="O37" s="39">
        <v>857532.44</v>
      </c>
      <c r="P37" s="39">
        <v>0.0</v>
      </c>
      <c r="Q37" s="40">
        <f t="shared" si="4"/>
        <v>1064404.88</v>
      </c>
    </row>
    <row r="38" ht="15.75" customHeight="1">
      <c r="A38" s="38">
        <v>34.0</v>
      </c>
      <c r="B38" s="41">
        <v>0.0</v>
      </c>
      <c r="C38" s="41">
        <v>101672.43</v>
      </c>
      <c r="D38" s="41">
        <v>0.0</v>
      </c>
      <c r="E38" s="40">
        <f t="shared" si="1"/>
        <v>101672.43</v>
      </c>
      <c r="F38" s="41">
        <v>2441940.61</v>
      </c>
      <c r="G38" s="41">
        <v>0.0</v>
      </c>
      <c r="H38" s="41">
        <v>0.0</v>
      </c>
      <c r="I38" s="40">
        <f t="shared" si="2"/>
        <v>2441940.61</v>
      </c>
      <c r="J38" s="41">
        <v>1249206.25</v>
      </c>
      <c r="K38" s="41">
        <v>205627.15</v>
      </c>
      <c r="L38" s="41">
        <v>0.0</v>
      </c>
      <c r="M38" s="40">
        <f t="shared" si="3"/>
        <v>1454833.4</v>
      </c>
      <c r="N38" s="41">
        <v>0.0</v>
      </c>
      <c r="O38" s="41">
        <v>0.0</v>
      </c>
      <c r="P38" s="41">
        <v>0.0</v>
      </c>
      <c r="Q38" s="40">
        <f t="shared" si="4"/>
        <v>0</v>
      </c>
    </row>
    <row r="39" ht="15.75" customHeight="1">
      <c r="A39" s="38">
        <v>35.0</v>
      </c>
      <c r="B39" s="39">
        <v>0.0</v>
      </c>
      <c r="C39" s="39">
        <v>448170.93</v>
      </c>
      <c r="D39" s="39">
        <v>0.0</v>
      </c>
      <c r="E39" s="40">
        <f t="shared" si="1"/>
        <v>448170.93</v>
      </c>
      <c r="F39" s="39">
        <v>0.0</v>
      </c>
      <c r="G39" s="39">
        <v>704424.56</v>
      </c>
      <c r="H39" s="39">
        <v>0.0</v>
      </c>
      <c r="I39" s="40">
        <f t="shared" si="2"/>
        <v>704424.56</v>
      </c>
      <c r="J39" s="39">
        <v>0.0</v>
      </c>
      <c r="K39" s="39">
        <v>0.0</v>
      </c>
      <c r="L39" s="39">
        <v>0.0</v>
      </c>
      <c r="M39" s="40">
        <f t="shared" si="3"/>
        <v>0</v>
      </c>
      <c r="N39" s="39">
        <v>1089581.61</v>
      </c>
      <c r="O39" s="39">
        <v>0.0</v>
      </c>
      <c r="P39" s="39">
        <v>0.0</v>
      </c>
      <c r="Q39" s="40">
        <f t="shared" si="4"/>
        <v>1089581.61</v>
      </c>
    </row>
    <row r="40" ht="15.75" customHeight="1">
      <c r="A40" s="38">
        <v>36.0</v>
      </c>
      <c r="B40" s="41">
        <v>0.0</v>
      </c>
      <c r="C40" s="41">
        <v>231632.92</v>
      </c>
      <c r="D40" s="41">
        <v>4127847.75</v>
      </c>
      <c r="E40" s="40">
        <f t="shared" si="1"/>
        <v>4359480.67</v>
      </c>
      <c r="F40" s="41">
        <v>0.0</v>
      </c>
      <c r="G40" s="41">
        <v>294502.42</v>
      </c>
      <c r="H40" s="41">
        <v>0.0</v>
      </c>
      <c r="I40" s="40">
        <f t="shared" si="2"/>
        <v>294502.42</v>
      </c>
      <c r="J40" s="41">
        <v>766433.12</v>
      </c>
      <c r="K40" s="41">
        <v>108423.37</v>
      </c>
      <c r="L40" s="41">
        <v>1545373.57</v>
      </c>
      <c r="M40" s="40">
        <f t="shared" si="3"/>
        <v>2420230.06</v>
      </c>
      <c r="N40" s="41">
        <v>0.0</v>
      </c>
      <c r="O40" s="41">
        <v>0.0</v>
      </c>
      <c r="P40" s="41">
        <v>0.0</v>
      </c>
      <c r="Q40" s="40">
        <f t="shared" si="4"/>
        <v>0</v>
      </c>
    </row>
    <row r="41" ht="15.75" customHeight="1">
      <c r="A41" s="38">
        <v>37.0</v>
      </c>
      <c r="B41" s="39">
        <v>0.0</v>
      </c>
      <c r="C41" s="39">
        <v>1604352.84</v>
      </c>
      <c r="D41" s="39">
        <v>1.414316277E7</v>
      </c>
      <c r="E41" s="40">
        <f t="shared" si="1"/>
        <v>15747515.61</v>
      </c>
      <c r="F41" s="39">
        <v>0.0</v>
      </c>
      <c r="G41" s="39">
        <v>0.0</v>
      </c>
      <c r="H41" s="39">
        <v>0.0</v>
      </c>
      <c r="I41" s="40">
        <f t="shared" si="2"/>
        <v>0</v>
      </c>
      <c r="J41" s="39">
        <v>1029170.03</v>
      </c>
      <c r="K41" s="39">
        <v>76542.08</v>
      </c>
      <c r="L41" s="39">
        <v>0.0</v>
      </c>
      <c r="M41" s="40">
        <f t="shared" si="3"/>
        <v>1105712.11</v>
      </c>
      <c r="N41" s="39">
        <v>0.0</v>
      </c>
      <c r="O41" s="39">
        <v>227268.52</v>
      </c>
      <c r="P41" s="39">
        <v>2545134.02</v>
      </c>
      <c r="Q41" s="40">
        <f t="shared" si="4"/>
        <v>2772402.54</v>
      </c>
    </row>
    <row r="42" ht="15.75" customHeight="1">
      <c r="A42" s="38">
        <v>38.0</v>
      </c>
      <c r="B42" s="41">
        <v>2669277.59</v>
      </c>
      <c r="C42" s="41">
        <v>0.0</v>
      </c>
      <c r="D42" s="41">
        <v>0.0</v>
      </c>
      <c r="E42" s="40">
        <f t="shared" si="1"/>
        <v>2669277.59</v>
      </c>
      <c r="F42" s="41">
        <v>0.0</v>
      </c>
      <c r="G42" s="41">
        <v>0.0</v>
      </c>
      <c r="H42" s="41">
        <v>0.0</v>
      </c>
      <c r="I42" s="40">
        <f t="shared" si="2"/>
        <v>0</v>
      </c>
      <c r="J42" s="41">
        <v>0.0</v>
      </c>
      <c r="K42" s="41">
        <v>150302.21</v>
      </c>
      <c r="L42" s="41">
        <v>0.0</v>
      </c>
      <c r="M42" s="40">
        <f t="shared" si="3"/>
        <v>150302.21</v>
      </c>
      <c r="N42" s="41">
        <v>0.0</v>
      </c>
      <c r="O42" s="41">
        <v>305693.7</v>
      </c>
      <c r="P42" s="41">
        <v>2955005.53</v>
      </c>
      <c r="Q42" s="40">
        <f t="shared" si="4"/>
        <v>3260699.23</v>
      </c>
    </row>
    <row r="43" ht="15.75" customHeight="1">
      <c r="A43" s="38">
        <v>39.0</v>
      </c>
      <c r="B43" s="39">
        <v>234781.57</v>
      </c>
      <c r="C43" s="39">
        <v>0.0</v>
      </c>
      <c r="D43" s="39">
        <v>0.0</v>
      </c>
      <c r="E43" s="40">
        <f t="shared" si="1"/>
        <v>234781.57</v>
      </c>
      <c r="F43" s="39">
        <v>2693175.45</v>
      </c>
      <c r="G43" s="39">
        <v>0.0</v>
      </c>
      <c r="H43" s="39">
        <v>0.0</v>
      </c>
      <c r="I43" s="40">
        <f t="shared" si="2"/>
        <v>2693175.45</v>
      </c>
      <c r="J43" s="39">
        <v>5146787.12</v>
      </c>
      <c r="K43" s="39">
        <v>77199.57</v>
      </c>
      <c r="L43" s="39">
        <v>3504213.17</v>
      </c>
      <c r="M43" s="40">
        <f t="shared" si="3"/>
        <v>8728199.86</v>
      </c>
      <c r="N43" s="39">
        <v>0.0</v>
      </c>
      <c r="O43" s="39">
        <v>157972.64</v>
      </c>
      <c r="P43" s="39">
        <v>0.0</v>
      </c>
      <c r="Q43" s="40">
        <f t="shared" si="4"/>
        <v>157972.64</v>
      </c>
    </row>
    <row r="44" ht="15.75" customHeight="1">
      <c r="A44" s="38">
        <v>40.0</v>
      </c>
      <c r="B44" s="41">
        <v>0.0</v>
      </c>
      <c r="C44" s="41">
        <v>0.0</v>
      </c>
      <c r="D44" s="41">
        <v>1.455893061E7</v>
      </c>
      <c r="E44" s="40">
        <f t="shared" si="1"/>
        <v>14558930.61</v>
      </c>
      <c r="F44" s="41">
        <v>0.0</v>
      </c>
      <c r="G44" s="41">
        <v>0.0</v>
      </c>
      <c r="H44" s="41">
        <v>0.0</v>
      </c>
      <c r="I44" s="40">
        <f t="shared" si="2"/>
        <v>0</v>
      </c>
      <c r="J44" s="41">
        <v>0.0</v>
      </c>
      <c r="K44" s="41">
        <v>0.0</v>
      </c>
      <c r="L44" s="41">
        <v>0.0</v>
      </c>
      <c r="M44" s="40">
        <f t="shared" si="3"/>
        <v>0</v>
      </c>
      <c r="N44" s="41">
        <v>0.0</v>
      </c>
      <c r="O44" s="41">
        <v>369863.38</v>
      </c>
      <c r="P44" s="41">
        <v>0.0</v>
      </c>
      <c r="Q44" s="40">
        <f t="shared" si="4"/>
        <v>369863.38</v>
      </c>
    </row>
    <row r="45" ht="15.75" customHeight="1">
      <c r="A45" s="38">
        <v>41.0</v>
      </c>
      <c r="B45" s="39">
        <v>0.0</v>
      </c>
      <c r="C45" s="39">
        <v>704078.91</v>
      </c>
      <c r="D45" s="39">
        <v>0.0</v>
      </c>
      <c r="E45" s="40">
        <f t="shared" si="1"/>
        <v>704078.91</v>
      </c>
      <c r="F45" s="39">
        <v>0.0</v>
      </c>
      <c r="G45" s="39">
        <v>0.0</v>
      </c>
      <c r="H45" s="39">
        <v>1560640.01</v>
      </c>
      <c r="I45" s="40">
        <f t="shared" si="2"/>
        <v>1560640.01</v>
      </c>
      <c r="J45" s="39">
        <v>2297061.27</v>
      </c>
      <c r="K45" s="39">
        <v>0.0</v>
      </c>
      <c r="L45" s="39">
        <v>0.0</v>
      </c>
      <c r="M45" s="40">
        <f t="shared" si="3"/>
        <v>2297061.27</v>
      </c>
      <c r="N45" s="39">
        <v>0.0</v>
      </c>
      <c r="O45" s="39">
        <v>0.0</v>
      </c>
      <c r="P45" s="39">
        <v>8187406.43</v>
      </c>
      <c r="Q45" s="40">
        <f t="shared" si="4"/>
        <v>8187406.43</v>
      </c>
    </row>
    <row r="46" ht="15.75" customHeight="1">
      <c r="A46" s="38">
        <v>42.0</v>
      </c>
      <c r="B46" s="41">
        <v>342197.29</v>
      </c>
      <c r="C46" s="41">
        <v>906577.4</v>
      </c>
      <c r="D46" s="41">
        <v>0.0</v>
      </c>
      <c r="E46" s="40">
        <f t="shared" si="1"/>
        <v>1248774.69</v>
      </c>
      <c r="F46" s="41">
        <v>0.0</v>
      </c>
      <c r="G46" s="41">
        <v>0.0</v>
      </c>
      <c r="H46" s="41">
        <v>1667176.16</v>
      </c>
      <c r="I46" s="40">
        <f t="shared" si="2"/>
        <v>1667176.16</v>
      </c>
      <c r="J46" s="41">
        <v>0.0</v>
      </c>
      <c r="K46" s="41">
        <v>227881.75</v>
      </c>
      <c r="L46" s="41">
        <v>0.0</v>
      </c>
      <c r="M46" s="40">
        <f t="shared" si="3"/>
        <v>227881.75</v>
      </c>
      <c r="N46" s="41">
        <v>757203.81</v>
      </c>
      <c r="O46" s="41">
        <v>180426.04</v>
      </c>
      <c r="P46" s="41">
        <v>0.0</v>
      </c>
      <c r="Q46" s="40">
        <f t="shared" si="4"/>
        <v>937629.85</v>
      </c>
    </row>
    <row r="47" ht="15.75" customHeight="1">
      <c r="A47" s="38">
        <v>43.0</v>
      </c>
      <c r="B47" s="39">
        <v>0.0</v>
      </c>
      <c r="C47" s="39">
        <v>2145148.74</v>
      </c>
      <c r="D47" s="39">
        <v>0.0</v>
      </c>
      <c r="E47" s="40">
        <f t="shared" si="1"/>
        <v>2145148.74</v>
      </c>
      <c r="F47" s="39">
        <v>1290834.37</v>
      </c>
      <c r="G47" s="39">
        <v>1247291.34</v>
      </c>
      <c r="H47" s="39">
        <v>3322435.55</v>
      </c>
      <c r="I47" s="40">
        <f t="shared" si="2"/>
        <v>5860561.26</v>
      </c>
      <c r="J47" s="39">
        <v>0.0</v>
      </c>
      <c r="K47" s="39">
        <v>240945.55</v>
      </c>
      <c r="L47" s="39">
        <v>9761865.71</v>
      </c>
      <c r="M47" s="40">
        <f t="shared" si="3"/>
        <v>10002811.26</v>
      </c>
      <c r="N47" s="39">
        <v>0.0</v>
      </c>
      <c r="O47" s="39">
        <v>0.0</v>
      </c>
      <c r="P47" s="39">
        <v>0.0</v>
      </c>
      <c r="Q47" s="40">
        <f t="shared" si="4"/>
        <v>0</v>
      </c>
    </row>
    <row r="48" ht="15.75" customHeight="1">
      <c r="A48" s="38">
        <v>44.0</v>
      </c>
      <c r="B48" s="41">
        <v>1160685.93</v>
      </c>
      <c r="C48" s="41">
        <v>0.0</v>
      </c>
      <c r="D48" s="41">
        <v>0.0</v>
      </c>
      <c r="E48" s="40">
        <f t="shared" si="1"/>
        <v>1160685.93</v>
      </c>
      <c r="F48" s="41">
        <v>849110.36</v>
      </c>
      <c r="G48" s="41">
        <v>0.0</v>
      </c>
      <c r="H48" s="41">
        <v>0.0</v>
      </c>
      <c r="I48" s="40">
        <f t="shared" si="2"/>
        <v>849110.36</v>
      </c>
      <c r="J48" s="41">
        <v>0.0</v>
      </c>
      <c r="K48" s="41">
        <v>162292.12</v>
      </c>
      <c r="L48" s="41">
        <v>0.0</v>
      </c>
      <c r="M48" s="40">
        <f t="shared" si="3"/>
        <v>162292.12</v>
      </c>
      <c r="N48" s="41">
        <v>6413008.71</v>
      </c>
      <c r="O48" s="41">
        <v>522076.94</v>
      </c>
      <c r="P48" s="41">
        <v>0.0</v>
      </c>
      <c r="Q48" s="40">
        <f t="shared" si="4"/>
        <v>6935085.65</v>
      </c>
    </row>
    <row r="49" ht="15.75" customHeight="1">
      <c r="A49" s="38">
        <v>45.0</v>
      </c>
      <c r="B49" s="39">
        <v>0.0</v>
      </c>
      <c r="C49" s="39">
        <v>178855.37</v>
      </c>
      <c r="D49" s="39">
        <v>0.0</v>
      </c>
      <c r="E49" s="40">
        <f t="shared" si="1"/>
        <v>178855.37</v>
      </c>
      <c r="F49" s="39">
        <v>547051.24</v>
      </c>
      <c r="G49" s="39">
        <v>0.0</v>
      </c>
      <c r="H49" s="39">
        <v>0.0</v>
      </c>
      <c r="I49" s="40">
        <f t="shared" si="2"/>
        <v>547051.24</v>
      </c>
      <c r="J49" s="39">
        <v>533720.14</v>
      </c>
      <c r="K49" s="39">
        <v>42847.47</v>
      </c>
      <c r="L49" s="39">
        <v>0.0</v>
      </c>
      <c r="M49" s="40">
        <f t="shared" si="3"/>
        <v>576567.61</v>
      </c>
      <c r="N49" s="39">
        <v>0.0</v>
      </c>
      <c r="O49" s="39">
        <v>441537.57</v>
      </c>
      <c r="P49" s="39">
        <v>1846140.83</v>
      </c>
      <c r="Q49" s="40">
        <f t="shared" si="4"/>
        <v>2287678.4</v>
      </c>
    </row>
    <row r="50" ht="15.75" customHeight="1">
      <c r="A50" s="38">
        <v>46.0</v>
      </c>
      <c r="B50" s="41">
        <v>307343.08</v>
      </c>
      <c r="C50" s="41">
        <v>446548.23</v>
      </c>
      <c r="D50" s="41">
        <v>0.0</v>
      </c>
      <c r="E50" s="40">
        <f t="shared" si="1"/>
        <v>753891.31</v>
      </c>
      <c r="F50" s="41">
        <v>0.0</v>
      </c>
      <c r="G50" s="41">
        <v>704308.93</v>
      </c>
      <c r="H50" s="41">
        <v>0.0</v>
      </c>
      <c r="I50" s="40">
        <f t="shared" si="2"/>
        <v>704308.93</v>
      </c>
      <c r="J50" s="41">
        <v>1337536.15</v>
      </c>
      <c r="K50" s="41">
        <v>495225.56</v>
      </c>
      <c r="L50" s="41">
        <v>0.0</v>
      </c>
      <c r="M50" s="40">
        <f t="shared" si="3"/>
        <v>1832761.71</v>
      </c>
      <c r="N50" s="41">
        <v>0.0</v>
      </c>
      <c r="O50" s="41">
        <v>451042.22</v>
      </c>
      <c r="P50" s="41">
        <v>0.0</v>
      </c>
      <c r="Q50" s="40">
        <f t="shared" si="4"/>
        <v>451042.22</v>
      </c>
    </row>
    <row r="51" ht="15.75" customHeight="1">
      <c r="A51" s="38">
        <v>47.0</v>
      </c>
      <c r="B51" s="39">
        <v>179500.61</v>
      </c>
      <c r="C51" s="39">
        <v>1272911.33</v>
      </c>
      <c r="D51" s="39">
        <v>0.0</v>
      </c>
      <c r="E51" s="40">
        <f t="shared" si="1"/>
        <v>1452411.94</v>
      </c>
      <c r="F51" s="39">
        <v>0.0</v>
      </c>
      <c r="G51" s="39">
        <v>0.0</v>
      </c>
      <c r="H51" s="39">
        <v>1502540.72</v>
      </c>
      <c r="I51" s="40">
        <f t="shared" si="2"/>
        <v>1502540.72</v>
      </c>
      <c r="J51" s="39">
        <v>0.0</v>
      </c>
      <c r="K51" s="39">
        <v>0.0</v>
      </c>
      <c r="L51" s="39">
        <v>0.0</v>
      </c>
      <c r="M51" s="40">
        <f t="shared" si="3"/>
        <v>0</v>
      </c>
      <c r="N51" s="39">
        <v>0.0</v>
      </c>
      <c r="O51" s="39">
        <v>318840.85</v>
      </c>
      <c r="P51" s="39">
        <v>0.0</v>
      </c>
      <c r="Q51" s="40">
        <f t="shared" si="4"/>
        <v>318840.85</v>
      </c>
    </row>
    <row r="52" ht="15.75" customHeight="1">
      <c r="A52" s="38">
        <v>48.0</v>
      </c>
      <c r="B52" s="41">
        <v>0.0</v>
      </c>
      <c r="C52" s="41">
        <v>305259.52</v>
      </c>
      <c r="D52" s="41">
        <v>0.0</v>
      </c>
      <c r="E52" s="40">
        <f t="shared" si="1"/>
        <v>305259.52</v>
      </c>
      <c r="F52" s="41">
        <v>0.0</v>
      </c>
      <c r="G52" s="41">
        <v>0.0</v>
      </c>
      <c r="H52" s="41">
        <v>0.0</v>
      </c>
      <c r="I52" s="40">
        <f t="shared" si="2"/>
        <v>0</v>
      </c>
      <c r="J52" s="41">
        <v>0.0</v>
      </c>
      <c r="K52" s="41">
        <v>221949.64</v>
      </c>
      <c r="L52" s="41">
        <v>0.0</v>
      </c>
      <c r="M52" s="40">
        <f t="shared" si="3"/>
        <v>221949.64</v>
      </c>
      <c r="N52" s="41">
        <v>0.0</v>
      </c>
      <c r="O52" s="41">
        <v>419631.42</v>
      </c>
      <c r="P52" s="41">
        <v>0.0</v>
      </c>
      <c r="Q52" s="40">
        <f t="shared" si="4"/>
        <v>419631.42</v>
      </c>
    </row>
    <row r="53" ht="15.75" customHeight="1">
      <c r="A53" s="38">
        <v>49.0</v>
      </c>
      <c r="B53" s="39">
        <v>4301171.52</v>
      </c>
      <c r="C53" s="39">
        <v>176055.87</v>
      </c>
      <c r="D53" s="39">
        <v>0.0</v>
      </c>
      <c r="E53" s="40">
        <f t="shared" si="1"/>
        <v>4477227.39</v>
      </c>
      <c r="F53" s="39">
        <v>0.0</v>
      </c>
      <c r="G53" s="39">
        <v>0.0</v>
      </c>
      <c r="H53" s="39">
        <v>0.0</v>
      </c>
      <c r="I53" s="40">
        <f t="shared" si="2"/>
        <v>0</v>
      </c>
      <c r="J53" s="39">
        <v>0.0</v>
      </c>
      <c r="K53" s="39">
        <v>0.0</v>
      </c>
      <c r="L53" s="39">
        <v>0.0</v>
      </c>
      <c r="M53" s="40">
        <f t="shared" si="3"/>
        <v>0</v>
      </c>
      <c r="N53" s="39">
        <v>0.0</v>
      </c>
      <c r="O53" s="39">
        <v>223359.85</v>
      </c>
      <c r="P53" s="39">
        <v>0.0</v>
      </c>
      <c r="Q53" s="40">
        <f t="shared" si="4"/>
        <v>223359.85</v>
      </c>
    </row>
    <row r="54" ht="15.75" customHeight="1">
      <c r="A54" s="38">
        <v>50.0</v>
      </c>
      <c r="B54" s="41">
        <v>3.31307222E7</v>
      </c>
      <c r="C54" s="41">
        <v>373752.95</v>
      </c>
      <c r="D54" s="41">
        <v>0.0</v>
      </c>
      <c r="E54" s="40">
        <f t="shared" si="1"/>
        <v>33504475.15</v>
      </c>
      <c r="F54" s="41">
        <v>948348.08</v>
      </c>
      <c r="G54" s="41">
        <v>1277941.82</v>
      </c>
      <c r="H54" s="41">
        <v>0.0</v>
      </c>
      <c r="I54" s="40">
        <f t="shared" si="2"/>
        <v>2226289.9</v>
      </c>
      <c r="J54" s="41">
        <v>3617287.31</v>
      </c>
      <c r="K54" s="41">
        <v>88148.54</v>
      </c>
      <c r="L54" s="41">
        <v>0.0</v>
      </c>
      <c r="M54" s="40">
        <f t="shared" si="3"/>
        <v>3705435.85</v>
      </c>
      <c r="N54" s="41">
        <v>3725640.68</v>
      </c>
      <c r="O54" s="41">
        <v>433771.24</v>
      </c>
      <c r="P54" s="41">
        <v>475412.61</v>
      </c>
      <c r="Q54" s="40">
        <f t="shared" si="4"/>
        <v>4634824.53</v>
      </c>
    </row>
    <row r="55" ht="15.75" customHeight="1">
      <c r="A55" s="38">
        <v>51.0</v>
      </c>
      <c r="B55" s="39">
        <v>185051.6</v>
      </c>
      <c r="C55" s="39">
        <v>471937.05</v>
      </c>
      <c r="D55" s="39">
        <v>0.0</v>
      </c>
      <c r="E55" s="40">
        <f t="shared" si="1"/>
        <v>656988.65</v>
      </c>
      <c r="F55" s="39">
        <v>0.0</v>
      </c>
      <c r="G55" s="39">
        <v>384220.04</v>
      </c>
      <c r="H55" s="39">
        <v>372873.02</v>
      </c>
      <c r="I55" s="40">
        <f t="shared" si="2"/>
        <v>757093.06</v>
      </c>
      <c r="J55" s="39">
        <v>0.0</v>
      </c>
      <c r="K55" s="39">
        <v>0.0</v>
      </c>
      <c r="L55" s="39">
        <v>1387498.1</v>
      </c>
      <c r="M55" s="40">
        <f t="shared" si="3"/>
        <v>1387498.1</v>
      </c>
      <c r="N55" s="39">
        <v>0.0</v>
      </c>
      <c r="O55" s="39">
        <v>0.0</v>
      </c>
      <c r="P55" s="39">
        <v>0.0</v>
      </c>
      <c r="Q55" s="40">
        <f t="shared" si="4"/>
        <v>0</v>
      </c>
    </row>
    <row r="56" ht="15.75" customHeight="1">
      <c r="A56" s="38">
        <v>52.0</v>
      </c>
      <c r="B56" s="41">
        <v>138584.59</v>
      </c>
      <c r="C56" s="41">
        <v>2960962.14</v>
      </c>
      <c r="D56" s="41">
        <v>0.0</v>
      </c>
      <c r="E56" s="40">
        <f t="shared" si="1"/>
        <v>3099546.73</v>
      </c>
      <c r="F56" s="41">
        <v>1540344.64</v>
      </c>
      <c r="G56" s="41">
        <v>1404356.3</v>
      </c>
      <c r="H56" s="41">
        <v>0.0</v>
      </c>
      <c r="I56" s="40">
        <f t="shared" si="2"/>
        <v>2944700.94</v>
      </c>
      <c r="J56" s="41">
        <v>0.0</v>
      </c>
      <c r="K56" s="41">
        <v>0.0</v>
      </c>
      <c r="L56" s="41">
        <v>0.0</v>
      </c>
      <c r="M56" s="40">
        <f t="shared" si="3"/>
        <v>0</v>
      </c>
      <c r="N56" s="41">
        <v>0.0</v>
      </c>
      <c r="O56" s="41">
        <v>468654.91</v>
      </c>
      <c r="P56" s="41">
        <v>0.0</v>
      </c>
      <c r="Q56" s="40">
        <f t="shared" si="4"/>
        <v>468654.91</v>
      </c>
    </row>
    <row r="57" ht="15.75" customHeight="1">
      <c r="A57" s="38">
        <v>53.0</v>
      </c>
      <c r="B57" s="39">
        <v>1369547.22</v>
      </c>
      <c r="C57" s="39">
        <v>0.0</v>
      </c>
      <c r="D57" s="39">
        <v>0.0</v>
      </c>
      <c r="E57" s="40">
        <f t="shared" si="1"/>
        <v>1369547.22</v>
      </c>
      <c r="F57" s="39">
        <v>4462183.61</v>
      </c>
      <c r="G57" s="39">
        <v>0.0</v>
      </c>
      <c r="H57" s="39">
        <v>2069265.52</v>
      </c>
      <c r="I57" s="40">
        <f t="shared" si="2"/>
        <v>6531449.13</v>
      </c>
      <c r="J57" s="39">
        <v>0.0</v>
      </c>
      <c r="K57" s="39">
        <v>398261.87</v>
      </c>
      <c r="L57" s="39">
        <v>0.0</v>
      </c>
      <c r="M57" s="40">
        <f t="shared" si="3"/>
        <v>398261.87</v>
      </c>
      <c r="N57" s="39">
        <v>66111.59</v>
      </c>
      <c r="O57" s="39">
        <v>0.0</v>
      </c>
      <c r="P57" s="39">
        <v>0.0</v>
      </c>
      <c r="Q57" s="40">
        <f t="shared" si="4"/>
        <v>66111.59</v>
      </c>
    </row>
    <row r="58" ht="15.75" customHeight="1">
      <c r="A58" s="38">
        <v>54.0</v>
      </c>
      <c r="B58" s="41">
        <v>0.0</v>
      </c>
      <c r="C58" s="41">
        <v>203281.41</v>
      </c>
      <c r="D58" s="41">
        <v>6424823.71</v>
      </c>
      <c r="E58" s="40">
        <f t="shared" si="1"/>
        <v>6628105.12</v>
      </c>
      <c r="F58" s="41">
        <v>2865984.03</v>
      </c>
      <c r="G58" s="41">
        <v>0.0</v>
      </c>
      <c r="H58" s="41">
        <v>0.0</v>
      </c>
      <c r="I58" s="40">
        <f t="shared" si="2"/>
        <v>2865984.03</v>
      </c>
      <c r="J58" s="41">
        <v>2110791.17</v>
      </c>
      <c r="K58" s="41">
        <v>370612.29</v>
      </c>
      <c r="L58" s="41">
        <v>0.0</v>
      </c>
      <c r="M58" s="40">
        <f t="shared" si="3"/>
        <v>2481403.46</v>
      </c>
      <c r="N58" s="41">
        <v>2542439.47</v>
      </c>
      <c r="O58" s="41">
        <v>0.0</v>
      </c>
      <c r="P58" s="41">
        <v>0.0</v>
      </c>
      <c r="Q58" s="40">
        <f t="shared" si="4"/>
        <v>2542439.47</v>
      </c>
    </row>
    <row r="59" ht="15.75" customHeight="1">
      <c r="A59" s="38">
        <v>55.0</v>
      </c>
      <c r="B59" s="39">
        <v>2465808.84</v>
      </c>
      <c r="C59" s="39">
        <v>0.0</v>
      </c>
      <c r="D59" s="39">
        <v>0.0</v>
      </c>
      <c r="E59" s="40">
        <f t="shared" si="1"/>
        <v>2465808.84</v>
      </c>
      <c r="F59" s="39">
        <v>49816.32</v>
      </c>
      <c r="G59" s="39">
        <v>0.0</v>
      </c>
      <c r="H59" s="39">
        <v>0.0</v>
      </c>
      <c r="I59" s="40">
        <f t="shared" si="2"/>
        <v>49816.32</v>
      </c>
      <c r="J59" s="39">
        <v>0.0</v>
      </c>
      <c r="K59" s="39">
        <v>151093.24</v>
      </c>
      <c r="L59" s="39">
        <v>2169865.66</v>
      </c>
      <c r="M59" s="40">
        <f t="shared" si="3"/>
        <v>2320958.9</v>
      </c>
      <c r="N59" s="39">
        <v>0.0</v>
      </c>
      <c r="O59" s="39">
        <v>242877.51</v>
      </c>
      <c r="P59" s="39">
        <v>0.0</v>
      </c>
      <c r="Q59" s="40">
        <f t="shared" si="4"/>
        <v>242877.51</v>
      </c>
    </row>
    <row r="60" ht="15.75" customHeight="1">
      <c r="A60" s="38">
        <v>56.0</v>
      </c>
      <c r="B60" s="41">
        <v>0.0</v>
      </c>
      <c r="C60" s="41">
        <v>616149.34</v>
      </c>
      <c r="D60" s="41">
        <v>0.0</v>
      </c>
      <c r="E60" s="40">
        <f t="shared" si="1"/>
        <v>616149.34</v>
      </c>
      <c r="F60" s="41">
        <v>2240203.94</v>
      </c>
      <c r="G60" s="41">
        <v>1580809.63</v>
      </c>
      <c r="H60" s="41">
        <v>0.0</v>
      </c>
      <c r="I60" s="40">
        <f t="shared" si="2"/>
        <v>3821013.57</v>
      </c>
      <c r="J60" s="41">
        <v>0.0</v>
      </c>
      <c r="K60" s="41">
        <v>0.0</v>
      </c>
      <c r="L60" s="41">
        <v>0.0</v>
      </c>
      <c r="M60" s="40">
        <f t="shared" si="3"/>
        <v>0</v>
      </c>
      <c r="N60" s="41">
        <v>0.0</v>
      </c>
      <c r="O60" s="41">
        <v>0.0</v>
      </c>
      <c r="P60" s="41">
        <v>0.0</v>
      </c>
      <c r="Q60" s="40">
        <f t="shared" si="4"/>
        <v>0</v>
      </c>
    </row>
    <row r="61" ht="15.75" customHeight="1">
      <c r="A61" s="38">
        <v>57.0</v>
      </c>
      <c r="B61" s="39">
        <v>0.0</v>
      </c>
      <c r="C61" s="39">
        <v>543407.85</v>
      </c>
      <c r="D61" s="39">
        <v>0.0</v>
      </c>
      <c r="E61" s="40">
        <f t="shared" si="1"/>
        <v>543407.85</v>
      </c>
      <c r="F61" s="39">
        <v>1303302.83</v>
      </c>
      <c r="G61" s="39">
        <v>0.0</v>
      </c>
      <c r="H61" s="39">
        <v>0.0</v>
      </c>
      <c r="I61" s="40">
        <f t="shared" si="2"/>
        <v>1303302.83</v>
      </c>
      <c r="J61" s="39">
        <v>0.0</v>
      </c>
      <c r="K61" s="39">
        <v>44206.57</v>
      </c>
      <c r="L61" s="39">
        <v>2750273.34</v>
      </c>
      <c r="M61" s="40">
        <f t="shared" si="3"/>
        <v>2794479.91</v>
      </c>
      <c r="N61" s="39">
        <v>0.0</v>
      </c>
      <c r="O61" s="39">
        <v>0.0</v>
      </c>
      <c r="P61" s="39">
        <v>0.0</v>
      </c>
      <c r="Q61" s="40">
        <f t="shared" si="4"/>
        <v>0</v>
      </c>
    </row>
    <row r="62" ht="15.75" customHeight="1">
      <c r="A62" s="38">
        <v>58.0</v>
      </c>
      <c r="B62" s="41">
        <v>3194658.7</v>
      </c>
      <c r="C62" s="41">
        <v>377260.16</v>
      </c>
      <c r="D62" s="41">
        <v>0.0</v>
      </c>
      <c r="E62" s="40">
        <f t="shared" si="1"/>
        <v>3571918.86</v>
      </c>
      <c r="F62" s="41">
        <v>0.0</v>
      </c>
      <c r="G62" s="41">
        <v>0.0</v>
      </c>
      <c r="H62" s="41">
        <v>0.0</v>
      </c>
      <c r="I62" s="40">
        <f t="shared" si="2"/>
        <v>0</v>
      </c>
      <c r="J62" s="41">
        <v>3052715.93</v>
      </c>
      <c r="K62" s="41">
        <v>435926.13</v>
      </c>
      <c r="L62" s="41">
        <v>0.0</v>
      </c>
      <c r="M62" s="40">
        <f t="shared" si="3"/>
        <v>3488642.06</v>
      </c>
      <c r="N62" s="41">
        <v>0.0</v>
      </c>
      <c r="O62" s="41">
        <v>313939.05</v>
      </c>
      <c r="P62" s="41">
        <v>3653080.56</v>
      </c>
      <c r="Q62" s="40">
        <f t="shared" si="4"/>
        <v>3967019.61</v>
      </c>
    </row>
    <row r="63" ht="15.75" customHeight="1">
      <c r="A63" s="38">
        <v>59.0</v>
      </c>
      <c r="B63" s="39">
        <v>934906.5</v>
      </c>
      <c r="C63" s="39">
        <v>324861.28</v>
      </c>
      <c r="D63" s="39">
        <v>0.0</v>
      </c>
      <c r="E63" s="40">
        <f t="shared" si="1"/>
        <v>1259767.78</v>
      </c>
      <c r="F63" s="39">
        <v>0.0</v>
      </c>
      <c r="G63" s="39">
        <v>0.0</v>
      </c>
      <c r="H63" s="39">
        <v>0.0</v>
      </c>
      <c r="I63" s="40">
        <f t="shared" si="2"/>
        <v>0</v>
      </c>
      <c r="J63" s="39">
        <v>2229082.71</v>
      </c>
      <c r="K63" s="39">
        <v>0.0</v>
      </c>
      <c r="L63" s="39">
        <v>0.0</v>
      </c>
      <c r="M63" s="40">
        <f t="shared" si="3"/>
        <v>2229082.71</v>
      </c>
      <c r="N63" s="39">
        <v>194638.73</v>
      </c>
      <c r="O63" s="39">
        <v>0.0</v>
      </c>
      <c r="P63" s="39">
        <v>0.0</v>
      </c>
      <c r="Q63" s="40">
        <f t="shared" si="4"/>
        <v>194638.73</v>
      </c>
    </row>
    <row r="64" ht="15.75" customHeight="1">
      <c r="A64" s="38">
        <v>60.0</v>
      </c>
      <c r="B64" s="41">
        <v>0.0</v>
      </c>
      <c r="C64" s="41">
        <v>0.0</v>
      </c>
      <c r="D64" s="41">
        <v>0.0</v>
      </c>
      <c r="E64" s="40">
        <f t="shared" si="1"/>
        <v>0</v>
      </c>
      <c r="F64" s="41">
        <v>0.0</v>
      </c>
      <c r="G64" s="41">
        <v>498025.31</v>
      </c>
      <c r="H64" s="41">
        <v>0.0</v>
      </c>
      <c r="I64" s="40">
        <f t="shared" si="2"/>
        <v>498025.31</v>
      </c>
      <c r="J64" s="41">
        <v>8998608.39</v>
      </c>
      <c r="K64" s="41">
        <v>184979.66</v>
      </c>
      <c r="L64" s="41">
        <v>3325839.74</v>
      </c>
      <c r="M64" s="40">
        <f t="shared" si="3"/>
        <v>12509427.79</v>
      </c>
      <c r="N64" s="41">
        <v>0.0</v>
      </c>
      <c r="O64" s="41">
        <v>143374.45</v>
      </c>
      <c r="P64" s="41">
        <v>1321000.51</v>
      </c>
      <c r="Q64" s="40">
        <f t="shared" si="4"/>
        <v>1464374.96</v>
      </c>
    </row>
    <row r="65" ht="15.75" customHeight="1">
      <c r="A65" s="38">
        <v>61.0</v>
      </c>
      <c r="B65" s="39">
        <v>54056.1</v>
      </c>
      <c r="C65" s="39">
        <v>0.0</v>
      </c>
      <c r="D65" s="39">
        <v>1447556.95</v>
      </c>
      <c r="E65" s="40">
        <f t="shared" si="1"/>
        <v>1501613.05</v>
      </c>
      <c r="F65" s="39">
        <v>0.0</v>
      </c>
      <c r="G65" s="39">
        <v>837332.59</v>
      </c>
      <c r="H65" s="39">
        <v>5808225.51</v>
      </c>
      <c r="I65" s="40">
        <f t="shared" si="2"/>
        <v>6645558.1</v>
      </c>
      <c r="J65" s="39">
        <v>1174455.54</v>
      </c>
      <c r="K65" s="39">
        <v>0.0</v>
      </c>
      <c r="L65" s="39">
        <v>0.0</v>
      </c>
      <c r="M65" s="40">
        <f t="shared" si="3"/>
        <v>1174455.54</v>
      </c>
      <c r="N65" s="39">
        <v>0.0</v>
      </c>
      <c r="O65" s="39">
        <v>47673.12</v>
      </c>
      <c r="P65" s="39">
        <v>0.0</v>
      </c>
      <c r="Q65" s="40">
        <f t="shared" si="4"/>
        <v>47673.12</v>
      </c>
    </row>
    <row r="66" ht="15.75" customHeight="1">
      <c r="A66" s="38">
        <v>62.0</v>
      </c>
      <c r="B66" s="41">
        <v>2159473.21</v>
      </c>
      <c r="C66" s="41">
        <v>0.0</v>
      </c>
      <c r="D66" s="41">
        <v>0.0</v>
      </c>
      <c r="E66" s="40">
        <f t="shared" si="1"/>
        <v>2159473.21</v>
      </c>
      <c r="F66" s="41">
        <v>0.0</v>
      </c>
      <c r="G66" s="41">
        <v>0.0</v>
      </c>
      <c r="H66" s="41">
        <v>0.0</v>
      </c>
      <c r="I66" s="40">
        <f t="shared" si="2"/>
        <v>0</v>
      </c>
      <c r="J66" s="41">
        <v>340456.51</v>
      </c>
      <c r="K66" s="41">
        <v>208869.52</v>
      </c>
      <c r="L66" s="41">
        <v>2665754.33</v>
      </c>
      <c r="M66" s="40">
        <f t="shared" si="3"/>
        <v>3215080.36</v>
      </c>
      <c r="N66" s="41">
        <v>0.0</v>
      </c>
      <c r="O66" s="41">
        <v>0.0</v>
      </c>
      <c r="P66" s="41">
        <v>0.0</v>
      </c>
      <c r="Q66" s="40">
        <f t="shared" si="4"/>
        <v>0</v>
      </c>
    </row>
    <row r="67" ht="15.75" customHeight="1">
      <c r="A67" s="38">
        <v>63.0</v>
      </c>
      <c r="B67" s="39">
        <v>0.0</v>
      </c>
      <c r="C67" s="39">
        <v>0.0</v>
      </c>
      <c r="D67" s="39">
        <v>0.0</v>
      </c>
      <c r="E67" s="40">
        <f t="shared" si="1"/>
        <v>0</v>
      </c>
      <c r="F67" s="39">
        <v>4082670.84</v>
      </c>
      <c r="G67" s="39">
        <v>233536.43</v>
      </c>
      <c r="H67" s="39">
        <v>0.0</v>
      </c>
      <c r="I67" s="40">
        <f t="shared" si="2"/>
        <v>4316207.27</v>
      </c>
      <c r="J67" s="39">
        <v>493102.98</v>
      </c>
      <c r="K67" s="39">
        <v>148170.09</v>
      </c>
      <c r="L67" s="39">
        <v>9136692.94</v>
      </c>
      <c r="M67" s="40">
        <f t="shared" si="3"/>
        <v>9777966.01</v>
      </c>
      <c r="N67" s="39">
        <v>0.0</v>
      </c>
      <c r="O67" s="39">
        <v>0.0</v>
      </c>
      <c r="P67" s="39">
        <v>0.0</v>
      </c>
      <c r="Q67" s="40">
        <f t="shared" si="4"/>
        <v>0</v>
      </c>
    </row>
    <row r="68" ht="15.75" customHeight="1">
      <c r="A68" s="38">
        <v>64.0</v>
      </c>
      <c r="B68" s="41">
        <v>0.0</v>
      </c>
      <c r="C68" s="41">
        <v>0.0</v>
      </c>
      <c r="D68" s="41">
        <v>0.0</v>
      </c>
      <c r="E68" s="40">
        <f t="shared" si="1"/>
        <v>0</v>
      </c>
      <c r="F68" s="41">
        <v>0.0</v>
      </c>
      <c r="G68" s="41">
        <v>296423.33</v>
      </c>
      <c r="H68" s="41">
        <v>0.0</v>
      </c>
      <c r="I68" s="40">
        <f t="shared" si="2"/>
        <v>296423.33</v>
      </c>
      <c r="J68" s="41">
        <v>132666.63</v>
      </c>
      <c r="K68" s="41">
        <v>0.0</v>
      </c>
      <c r="L68" s="41">
        <v>0.0</v>
      </c>
      <c r="M68" s="40">
        <f t="shared" si="3"/>
        <v>132666.63</v>
      </c>
      <c r="N68" s="41">
        <v>0.0</v>
      </c>
      <c r="O68" s="41">
        <v>0.0</v>
      </c>
      <c r="P68" s="41">
        <v>0.0</v>
      </c>
      <c r="Q68" s="40">
        <f t="shared" si="4"/>
        <v>0</v>
      </c>
    </row>
    <row r="69" ht="15.75" customHeight="1">
      <c r="A69" s="38">
        <v>65.0</v>
      </c>
      <c r="B69" s="39">
        <v>0.0</v>
      </c>
      <c r="C69" s="39">
        <v>499362.88</v>
      </c>
      <c r="D69" s="39">
        <v>0.0</v>
      </c>
      <c r="E69" s="40">
        <f t="shared" si="1"/>
        <v>499362.88</v>
      </c>
      <c r="F69" s="39">
        <v>2039681.26</v>
      </c>
      <c r="G69" s="39">
        <v>311811.13</v>
      </c>
      <c r="H69" s="39">
        <v>0.0</v>
      </c>
      <c r="I69" s="40">
        <f t="shared" si="2"/>
        <v>2351492.39</v>
      </c>
      <c r="J69" s="39">
        <v>2229658.71</v>
      </c>
      <c r="K69" s="39">
        <v>525439.16</v>
      </c>
      <c r="L69" s="39">
        <v>0.0</v>
      </c>
      <c r="M69" s="40">
        <f t="shared" si="3"/>
        <v>2755097.87</v>
      </c>
      <c r="N69" s="39">
        <v>0.0</v>
      </c>
      <c r="O69" s="39">
        <v>78505.48</v>
      </c>
      <c r="P69" s="39">
        <v>0.0</v>
      </c>
      <c r="Q69" s="40">
        <f t="shared" si="4"/>
        <v>78505.48</v>
      </c>
    </row>
    <row r="70" ht="15.75" customHeight="1">
      <c r="A70" s="38">
        <v>66.0</v>
      </c>
      <c r="B70" s="41">
        <v>0.0</v>
      </c>
      <c r="C70" s="41">
        <v>604180.0</v>
      </c>
      <c r="D70" s="41">
        <v>0.0</v>
      </c>
      <c r="E70" s="40">
        <f t="shared" si="1"/>
        <v>604180</v>
      </c>
      <c r="F70" s="41">
        <v>226276.11</v>
      </c>
      <c r="G70" s="41">
        <v>0.0</v>
      </c>
      <c r="H70" s="41">
        <v>0.0</v>
      </c>
      <c r="I70" s="40">
        <f t="shared" si="2"/>
        <v>226276.11</v>
      </c>
      <c r="J70" s="41">
        <v>5769405.77</v>
      </c>
      <c r="K70" s="41">
        <v>0.0</v>
      </c>
      <c r="L70" s="41">
        <v>0.0</v>
      </c>
      <c r="M70" s="40">
        <f t="shared" si="3"/>
        <v>5769405.77</v>
      </c>
      <c r="N70" s="41">
        <v>0.0</v>
      </c>
      <c r="O70" s="41">
        <v>0.0</v>
      </c>
      <c r="P70" s="41">
        <v>0.0</v>
      </c>
      <c r="Q70" s="40">
        <f t="shared" si="4"/>
        <v>0</v>
      </c>
    </row>
    <row r="71" ht="15.75" customHeight="1">
      <c r="A71" s="38">
        <v>67.0</v>
      </c>
      <c r="B71" s="39">
        <v>0.0</v>
      </c>
      <c r="C71" s="39">
        <v>0.0</v>
      </c>
      <c r="D71" s="39">
        <v>1948166.72</v>
      </c>
      <c r="E71" s="40">
        <f t="shared" si="1"/>
        <v>1948166.72</v>
      </c>
      <c r="F71" s="39">
        <v>0.0</v>
      </c>
      <c r="G71" s="39">
        <v>0.0</v>
      </c>
      <c r="H71" s="39">
        <v>0.0</v>
      </c>
      <c r="I71" s="40">
        <f t="shared" si="2"/>
        <v>0</v>
      </c>
      <c r="J71" s="39">
        <v>4008280.74</v>
      </c>
      <c r="K71" s="39">
        <v>101742.9</v>
      </c>
      <c r="L71" s="39">
        <v>2273705.16</v>
      </c>
      <c r="M71" s="40">
        <f t="shared" si="3"/>
        <v>6383728.8</v>
      </c>
      <c r="N71" s="39">
        <v>1109386.54</v>
      </c>
      <c r="O71" s="39">
        <v>131892.18</v>
      </c>
      <c r="P71" s="39">
        <v>714736.94</v>
      </c>
      <c r="Q71" s="40">
        <f t="shared" si="4"/>
        <v>1956015.66</v>
      </c>
    </row>
    <row r="72" ht="15.75" customHeight="1">
      <c r="A72" s="38">
        <v>68.0</v>
      </c>
      <c r="B72" s="41">
        <v>396968.39</v>
      </c>
      <c r="C72" s="41">
        <v>0.0</v>
      </c>
      <c r="D72" s="41">
        <v>0.0</v>
      </c>
      <c r="E72" s="40">
        <f t="shared" si="1"/>
        <v>396968.39</v>
      </c>
      <c r="F72" s="41">
        <v>340448.76</v>
      </c>
      <c r="G72" s="41">
        <v>0.0</v>
      </c>
      <c r="H72" s="41">
        <v>0.0</v>
      </c>
      <c r="I72" s="40">
        <f t="shared" si="2"/>
        <v>340448.76</v>
      </c>
      <c r="J72" s="41">
        <v>1016933.87</v>
      </c>
      <c r="K72" s="41">
        <v>0.0</v>
      </c>
      <c r="L72" s="41">
        <v>0.0</v>
      </c>
      <c r="M72" s="40">
        <f t="shared" si="3"/>
        <v>1016933.87</v>
      </c>
      <c r="N72" s="41">
        <v>0.0</v>
      </c>
      <c r="O72" s="41">
        <v>0.0</v>
      </c>
      <c r="P72" s="41">
        <v>2884382.63</v>
      </c>
      <c r="Q72" s="40">
        <f t="shared" si="4"/>
        <v>2884382.63</v>
      </c>
    </row>
    <row r="73" ht="15.75" customHeight="1">
      <c r="A73" s="38">
        <v>69.0</v>
      </c>
      <c r="B73" s="39">
        <v>0.0</v>
      </c>
      <c r="C73" s="39">
        <v>112178.97</v>
      </c>
      <c r="D73" s="39">
        <v>0.0</v>
      </c>
      <c r="E73" s="40">
        <f t="shared" si="1"/>
        <v>112178.97</v>
      </c>
      <c r="F73" s="39">
        <v>3330491.0</v>
      </c>
      <c r="G73" s="39">
        <v>537062.59</v>
      </c>
      <c r="H73" s="39">
        <v>0.0</v>
      </c>
      <c r="I73" s="40">
        <f t="shared" si="2"/>
        <v>3867553.59</v>
      </c>
      <c r="J73" s="39">
        <v>0.0</v>
      </c>
      <c r="K73" s="39">
        <v>218481.02</v>
      </c>
      <c r="L73" s="39">
        <v>0.0</v>
      </c>
      <c r="M73" s="40">
        <f t="shared" si="3"/>
        <v>218481.02</v>
      </c>
      <c r="N73" s="39">
        <v>0.0</v>
      </c>
      <c r="O73" s="39">
        <v>0.0</v>
      </c>
      <c r="P73" s="39">
        <v>1035815.84</v>
      </c>
      <c r="Q73" s="40">
        <f t="shared" si="4"/>
        <v>1035815.84</v>
      </c>
    </row>
    <row r="74" ht="15.75" customHeight="1">
      <c r="A74" s="38">
        <v>70.0</v>
      </c>
      <c r="B74" s="41">
        <v>0.0</v>
      </c>
      <c r="C74" s="41">
        <v>264587.72</v>
      </c>
      <c r="D74" s="41">
        <v>0.0</v>
      </c>
      <c r="E74" s="40">
        <f t="shared" si="1"/>
        <v>264587.72</v>
      </c>
      <c r="F74" s="41">
        <v>574759.55</v>
      </c>
      <c r="G74" s="41">
        <v>0.0</v>
      </c>
      <c r="H74" s="41">
        <v>0.0</v>
      </c>
      <c r="I74" s="40">
        <f t="shared" si="2"/>
        <v>574759.55</v>
      </c>
      <c r="J74" s="41">
        <v>0.0</v>
      </c>
      <c r="K74" s="41">
        <v>0.0</v>
      </c>
      <c r="L74" s="41">
        <v>0.0</v>
      </c>
      <c r="M74" s="40">
        <f t="shared" si="3"/>
        <v>0</v>
      </c>
      <c r="N74" s="41">
        <v>0.0</v>
      </c>
      <c r="O74" s="41">
        <v>0.0</v>
      </c>
      <c r="P74" s="41">
        <v>0.0</v>
      </c>
      <c r="Q74" s="40">
        <f t="shared" si="4"/>
        <v>0</v>
      </c>
    </row>
    <row r="75" ht="15.75" customHeight="1">
      <c r="A75" s="38">
        <v>71.0</v>
      </c>
      <c r="B75" s="39">
        <v>921260.21</v>
      </c>
      <c r="C75" s="39">
        <v>102292.78</v>
      </c>
      <c r="D75" s="39">
        <v>1.265188586E7</v>
      </c>
      <c r="E75" s="40">
        <f t="shared" si="1"/>
        <v>13675438.85</v>
      </c>
      <c r="F75" s="39">
        <v>0.0</v>
      </c>
      <c r="G75" s="39">
        <v>221072.71</v>
      </c>
      <c r="H75" s="39">
        <v>0.0</v>
      </c>
      <c r="I75" s="40">
        <f t="shared" si="2"/>
        <v>221072.71</v>
      </c>
      <c r="J75" s="39">
        <v>548625.92</v>
      </c>
      <c r="K75" s="39">
        <v>0.0</v>
      </c>
      <c r="L75" s="39">
        <v>825312.69</v>
      </c>
      <c r="M75" s="40">
        <f t="shared" si="3"/>
        <v>1373938.61</v>
      </c>
      <c r="N75" s="39">
        <v>0.0</v>
      </c>
      <c r="O75" s="39">
        <v>0.0</v>
      </c>
      <c r="P75" s="39">
        <v>0.0</v>
      </c>
      <c r="Q75" s="40">
        <f t="shared" si="4"/>
        <v>0</v>
      </c>
    </row>
    <row r="76" ht="15.75" customHeight="1">
      <c r="A76" s="38">
        <v>72.0</v>
      </c>
      <c r="B76" s="41">
        <v>0.0</v>
      </c>
      <c r="C76" s="41">
        <v>109245.45</v>
      </c>
      <c r="D76" s="41">
        <v>0.0</v>
      </c>
      <c r="E76" s="40">
        <f t="shared" si="1"/>
        <v>109245.45</v>
      </c>
      <c r="F76" s="41">
        <v>2400090.17</v>
      </c>
      <c r="G76" s="41">
        <v>0.0</v>
      </c>
      <c r="H76" s="41">
        <v>0.0</v>
      </c>
      <c r="I76" s="40">
        <f t="shared" si="2"/>
        <v>2400090.17</v>
      </c>
      <c r="J76" s="41">
        <v>150399.2</v>
      </c>
      <c r="K76" s="41">
        <v>0.0</v>
      </c>
      <c r="L76" s="41">
        <v>1040388.12</v>
      </c>
      <c r="M76" s="40">
        <f t="shared" si="3"/>
        <v>1190787.32</v>
      </c>
      <c r="N76" s="41">
        <v>438037.83</v>
      </c>
      <c r="O76" s="41">
        <v>0.0</v>
      </c>
      <c r="P76" s="41">
        <v>0.0</v>
      </c>
      <c r="Q76" s="40">
        <f t="shared" si="4"/>
        <v>438037.83</v>
      </c>
    </row>
    <row r="77" ht="15.75" customHeight="1">
      <c r="A77" s="38">
        <v>73.0</v>
      </c>
      <c r="B77" s="39">
        <v>0.0</v>
      </c>
      <c r="C77" s="39">
        <v>0.0</v>
      </c>
      <c r="D77" s="39">
        <v>0.0</v>
      </c>
      <c r="E77" s="40">
        <f t="shared" si="1"/>
        <v>0</v>
      </c>
      <c r="F77" s="39">
        <v>1295108.65</v>
      </c>
      <c r="G77" s="39">
        <v>0.0</v>
      </c>
      <c r="H77" s="39">
        <v>0.0</v>
      </c>
      <c r="I77" s="40">
        <f t="shared" si="2"/>
        <v>1295108.65</v>
      </c>
      <c r="J77" s="39">
        <v>0.0</v>
      </c>
      <c r="K77" s="39">
        <v>41834.68</v>
      </c>
      <c r="L77" s="39">
        <v>2702634.12</v>
      </c>
      <c r="M77" s="40">
        <f t="shared" si="3"/>
        <v>2744468.8</v>
      </c>
      <c r="N77" s="39">
        <v>2779928.0</v>
      </c>
      <c r="O77" s="39">
        <v>0.0</v>
      </c>
      <c r="P77" s="39">
        <v>0.0</v>
      </c>
      <c r="Q77" s="40">
        <f t="shared" si="4"/>
        <v>2779928</v>
      </c>
    </row>
    <row r="78" ht="15.75" customHeight="1">
      <c r="A78" s="38">
        <v>74.0</v>
      </c>
      <c r="B78" s="41">
        <v>0.0</v>
      </c>
      <c r="C78" s="41">
        <v>200910.33</v>
      </c>
      <c r="D78" s="41">
        <v>507465.88</v>
      </c>
      <c r="E78" s="40">
        <f t="shared" si="1"/>
        <v>708376.21</v>
      </c>
      <c r="F78" s="41">
        <v>0.0</v>
      </c>
      <c r="G78" s="41">
        <v>0.0</v>
      </c>
      <c r="H78" s="41">
        <v>0.0</v>
      </c>
      <c r="I78" s="40">
        <f t="shared" si="2"/>
        <v>0</v>
      </c>
      <c r="J78" s="41">
        <v>89742.34</v>
      </c>
      <c r="K78" s="41">
        <v>638332.76</v>
      </c>
      <c r="L78" s="41">
        <v>3067959.96</v>
      </c>
      <c r="M78" s="40">
        <f t="shared" si="3"/>
        <v>3796035.06</v>
      </c>
      <c r="N78" s="41">
        <v>0.0</v>
      </c>
      <c r="O78" s="41">
        <v>0.0</v>
      </c>
      <c r="P78" s="41">
        <v>3544031.08</v>
      </c>
      <c r="Q78" s="40">
        <f t="shared" si="4"/>
        <v>3544031.08</v>
      </c>
    </row>
    <row r="79" ht="15.75" customHeight="1">
      <c r="A79" s="38">
        <v>75.0</v>
      </c>
      <c r="B79" s="39">
        <v>0.0</v>
      </c>
      <c r="C79" s="39">
        <v>0.0</v>
      </c>
      <c r="D79" s="39">
        <v>2256033.42</v>
      </c>
      <c r="E79" s="40">
        <f t="shared" si="1"/>
        <v>2256033.42</v>
      </c>
      <c r="F79" s="39">
        <v>0.0</v>
      </c>
      <c r="G79" s="39">
        <v>548749.29</v>
      </c>
      <c r="H79" s="39">
        <v>0.0</v>
      </c>
      <c r="I79" s="40">
        <f t="shared" si="2"/>
        <v>548749.29</v>
      </c>
      <c r="J79" s="39">
        <v>1993994.51</v>
      </c>
      <c r="K79" s="39">
        <v>0.0</v>
      </c>
      <c r="L79" s="39">
        <v>1.113233247E7</v>
      </c>
      <c r="M79" s="40">
        <f t="shared" si="3"/>
        <v>13126326.98</v>
      </c>
      <c r="N79" s="39">
        <v>0.0</v>
      </c>
      <c r="O79" s="39">
        <v>84612.49</v>
      </c>
      <c r="P79" s="39">
        <v>0.0</v>
      </c>
      <c r="Q79" s="40">
        <f t="shared" si="4"/>
        <v>84612.49</v>
      </c>
    </row>
    <row r="80" ht="15.75" customHeight="1">
      <c r="A80" s="38">
        <v>76.0</v>
      </c>
      <c r="B80" s="41">
        <v>0.0</v>
      </c>
      <c r="C80" s="41">
        <v>0.0</v>
      </c>
      <c r="D80" s="41">
        <v>0.0</v>
      </c>
      <c r="E80" s="40">
        <f t="shared" si="1"/>
        <v>0</v>
      </c>
      <c r="F80" s="41">
        <v>5900312.9</v>
      </c>
      <c r="G80" s="41">
        <v>0.0</v>
      </c>
      <c r="H80" s="41">
        <v>0.0</v>
      </c>
      <c r="I80" s="40">
        <f t="shared" si="2"/>
        <v>5900312.9</v>
      </c>
      <c r="J80" s="41">
        <v>0.0</v>
      </c>
      <c r="K80" s="41">
        <v>0.0</v>
      </c>
      <c r="L80" s="41">
        <v>0.0</v>
      </c>
      <c r="M80" s="40">
        <f t="shared" si="3"/>
        <v>0</v>
      </c>
      <c r="N80" s="41">
        <v>0.0</v>
      </c>
      <c r="O80" s="41">
        <v>1050386.31</v>
      </c>
      <c r="P80" s="41">
        <v>0.0</v>
      </c>
      <c r="Q80" s="40">
        <f t="shared" si="4"/>
        <v>1050386.31</v>
      </c>
    </row>
    <row r="81" ht="15.75" customHeight="1">
      <c r="A81" s="38">
        <v>77.0</v>
      </c>
      <c r="B81" s="39">
        <v>457709.86</v>
      </c>
      <c r="C81" s="39">
        <v>0.0</v>
      </c>
      <c r="D81" s="39">
        <v>0.0</v>
      </c>
      <c r="E81" s="40">
        <f t="shared" si="1"/>
        <v>457709.86</v>
      </c>
      <c r="F81" s="39">
        <v>4020959.01</v>
      </c>
      <c r="G81" s="39">
        <v>0.0</v>
      </c>
      <c r="H81" s="39">
        <v>0.0</v>
      </c>
      <c r="I81" s="40">
        <f t="shared" si="2"/>
        <v>4020959.01</v>
      </c>
      <c r="J81" s="39">
        <v>0.0</v>
      </c>
      <c r="K81" s="39">
        <v>505547.82</v>
      </c>
      <c r="L81" s="39">
        <v>0.0</v>
      </c>
      <c r="M81" s="40">
        <f t="shared" si="3"/>
        <v>505547.82</v>
      </c>
      <c r="N81" s="39">
        <v>0.0</v>
      </c>
      <c r="O81" s="39">
        <v>0.0</v>
      </c>
      <c r="P81" s="39">
        <v>0.0</v>
      </c>
      <c r="Q81" s="40">
        <f t="shared" si="4"/>
        <v>0</v>
      </c>
    </row>
    <row r="82" ht="15.75" customHeight="1">
      <c r="A82" s="38">
        <v>78.0</v>
      </c>
      <c r="B82" s="41">
        <v>0.0</v>
      </c>
      <c r="C82" s="41">
        <v>485020.49</v>
      </c>
      <c r="D82" s="41">
        <v>0.0</v>
      </c>
      <c r="E82" s="40">
        <f t="shared" si="1"/>
        <v>485020.49</v>
      </c>
      <c r="F82" s="41">
        <v>670718.75</v>
      </c>
      <c r="G82" s="41">
        <v>0.0</v>
      </c>
      <c r="H82" s="41">
        <v>0.0</v>
      </c>
      <c r="I82" s="40">
        <f t="shared" si="2"/>
        <v>670718.75</v>
      </c>
      <c r="J82" s="41">
        <v>0.0</v>
      </c>
      <c r="K82" s="41">
        <v>0.0</v>
      </c>
      <c r="L82" s="41">
        <v>0.0</v>
      </c>
      <c r="M82" s="40">
        <f t="shared" si="3"/>
        <v>0</v>
      </c>
      <c r="N82" s="41">
        <v>0.0</v>
      </c>
      <c r="O82" s="41">
        <v>0.0</v>
      </c>
      <c r="P82" s="41">
        <v>0.0</v>
      </c>
      <c r="Q82" s="40">
        <f t="shared" si="4"/>
        <v>0</v>
      </c>
    </row>
    <row r="83" ht="15.75" customHeight="1">
      <c r="A83" s="38">
        <v>79.0</v>
      </c>
      <c r="B83" s="39">
        <v>1.965625936E7</v>
      </c>
      <c r="C83" s="39">
        <v>1235526.18</v>
      </c>
      <c r="D83" s="39">
        <v>0.0</v>
      </c>
      <c r="E83" s="40">
        <f t="shared" si="1"/>
        <v>20891785.54</v>
      </c>
      <c r="F83" s="39">
        <v>0.0</v>
      </c>
      <c r="G83" s="39">
        <v>909305.32</v>
      </c>
      <c r="H83" s="39">
        <v>0.0</v>
      </c>
      <c r="I83" s="40">
        <f t="shared" si="2"/>
        <v>909305.32</v>
      </c>
      <c r="J83" s="39">
        <v>0.0</v>
      </c>
      <c r="K83" s="39">
        <v>595716.98</v>
      </c>
      <c r="L83" s="39">
        <v>0.0</v>
      </c>
      <c r="M83" s="40">
        <f t="shared" si="3"/>
        <v>595716.98</v>
      </c>
      <c r="N83" s="39">
        <v>0.0</v>
      </c>
      <c r="O83" s="39">
        <v>207911.32</v>
      </c>
      <c r="P83" s="39">
        <v>422480.36</v>
      </c>
      <c r="Q83" s="40">
        <f t="shared" si="4"/>
        <v>630391.68</v>
      </c>
    </row>
    <row r="84" ht="15.75" customHeight="1">
      <c r="A84" s="38">
        <v>80.0</v>
      </c>
      <c r="B84" s="41">
        <v>0.0</v>
      </c>
      <c r="C84" s="41">
        <v>457963.97</v>
      </c>
      <c r="D84" s="41">
        <v>0.0</v>
      </c>
      <c r="E84" s="40">
        <f t="shared" si="1"/>
        <v>457963.97</v>
      </c>
      <c r="F84" s="41">
        <v>197846.68</v>
      </c>
      <c r="G84" s="41">
        <v>0.0</v>
      </c>
      <c r="H84" s="41">
        <v>163901.08</v>
      </c>
      <c r="I84" s="40">
        <f t="shared" si="2"/>
        <v>361747.76</v>
      </c>
      <c r="J84" s="41">
        <v>1175400.19</v>
      </c>
      <c r="K84" s="41">
        <v>0.0</v>
      </c>
      <c r="L84" s="41">
        <v>0.0</v>
      </c>
      <c r="M84" s="40">
        <f t="shared" si="3"/>
        <v>1175400.19</v>
      </c>
      <c r="N84" s="41">
        <v>5306832.4</v>
      </c>
      <c r="O84" s="41">
        <v>0.0</v>
      </c>
      <c r="P84" s="41">
        <v>0.0</v>
      </c>
      <c r="Q84" s="40">
        <f t="shared" si="4"/>
        <v>5306832.4</v>
      </c>
    </row>
    <row r="85" ht="15.75" customHeight="1">
      <c r="A85" s="38">
        <v>81.0</v>
      </c>
      <c r="B85" s="39">
        <v>848954.0</v>
      </c>
      <c r="C85" s="39">
        <v>0.0</v>
      </c>
      <c r="D85" s="39">
        <v>1404223.77</v>
      </c>
      <c r="E85" s="40">
        <f t="shared" si="1"/>
        <v>2253177.77</v>
      </c>
      <c r="F85" s="39">
        <v>0.0</v>
      </c>
      <c r="G85" s="39">
        <v>0.0</v>
      </c>
      <c r="H85" s="39">
        <v>3361793.44</v>
      </c>
      <c r="I85" s="40">
        <f t="shared" si="2"/>
        <v>3361793.44</v>
      </c>
      <c r="J85" s="39">
        <v>0.0</v>
      </c>
      <c r="K85" s="39">
        <v>264398.56</v>
      </c>
      <c r="L85" s="39">
        <v>0.0</v>
      </c>
      <c r="M85" s="40">
        <f t="shared" si="3"/>
        <v>264398.56</v>
      </c>
      <c r="N85" s="39">
        <v>1600821.47</v>
      </c>
      <c r="O85" s="39">
        <v>0.0</v>
      </c>
      <c r="P85" s="39">
        <v>0.0</v>
      </c>
      <c r="Q85" s="40">
        <f t="shared" si="4"/>
        <v>1600821.47</v>
      </c>
    </row>
    <row r="86" ht="15.75" customHeight="1">
      <c r="A86" s="38">
        <v>82.0</v>
      </c>
      <c r="B86" s="41">
        <v>5043294.42</v>
      </c>
      <c r="C86" s="41">
        <v>0.0</v>
      </c>
      <c r="D86" s="41">
        <v>4140490.39</v>
      </c>
      <c r="E86" s="40">
        <f t="shared" si="1"/>
        <v>9183784.81</v>
      </c>
      <c r="F86" s="41">
        <v>2611857.52</v>
      </c>
      <c r="G86" s="41">
        <v>183917.73</v>
      </c>
      <c r="H86" s="41">
        <v>0.0</v>
      </c>
      <c r="I86" s="40">
        <f t="shared" si="2"/>
        <v>2795775.25</v>
      </c>
      <c r="J86" s="41">
        <v>0.0</v>
      </c>
      <c r="K86" s="41">
        <v>483264.43</v>
      </c>
      <c r="L86" s="41">
        <v>3.819166379E7</v>
      </c>
      <c r="M86" s="40">
        <f t="shared" si="3"/>
        <v>38674928.22</v>
      </c>
      <c r="N86" s="41">
        <v>0.0</v>
      </c>
      <c r="O86" s="41">
        <v>151604.33</v>
      </c>
      <c r="P86" s="41">
        <v>0.0</v>
      </c>
      <c r="Q86" s="40">
        <f t="shared" si="4"/>
        <v>151604.33</v>
      </c>
    </row>
    <row r="87" ht="15.75" customHeight="1">
      <c r="A87" s="38">
        <v>83.0</v>
      </c>
      <c r="B87" s="39">
        <v>0.0</v>
      </c>
      <c r="C87" s="39">
        <v>594777.47</v>
      </c>
      <c r="D87" s="39">
        <v>0.0</v>
      </c>
      <c r="E87" s="40">
        <f t="shared" si="1"/>
        <v>594777.47</v>
      </c>
      <c r="F87" s="39">
        <v>1032619.51</v>
      </c>
      <c r="G87" s="39">
        <v>286284.88</v>
      </c>
      <c r="H87" s="39">
        <v>0.0</v>
      </c>
      <c r="I87" s="40">
        <f t="shared" si="2"/>
        <v>1318904.39</v>
      </c>
      <c r="J87" s="39">
        <v>1478041.72</v>
      </c>
      <c r="K87" s="39">
        <v>0.0</v>
      </c>
      <c r="L87" s="39">
        <v>0.0</v>
      </c>
      <c r="M87" s="40">
        <f t="shared" si="3"/>
        <v>1478041.72</v>
      </c>
      <c r="N87" s="39">
        <v>0.0</v>
      </c>
      <c r="O87" s="39">
        <v>0.0</v>
      </c>
      <c r="P87" s="39">
        <v>654694.86</v>
      </c>
      <c r="Q87" s="40">
        <f t="shared" si="4"/>
        <v>654694.86</v>
      </c>
    </row>
    <row r="88" ht="15.75" customHeight="1">
      <c r="A88" s="38">
        <v>84.0</v>
      </c>
      <c r="B88" s="41">
        <v>5213664.28</v>
      </c>
      <c r="C88" s="41">
        <v>0.0</v>
      </c>
      <c r="D88" s="41">
        <v>0.0</v>
      </c>
      <c r="E88" s="40">
        <f t="shared" si="1"/>
        <v>5213664.28</v>
      </c>
      <c r="F88" s="41">
        <v>0.0</v>
      </c>
      <c r="G88" s="41">
        <v>0.0</v>
      </c>
      <c r="H88" s="41">
        <v>0.0</v>
      </c>
      <c r="I88" s="40">
        <f t="shared" si="2"/>
        <v>0</v>
      </c>
      <c r="J88" s="41">
        <v>0.0</v>
      </c>
      <c r="K88" s="41">
        <v>79045.68</v>
      </c>
      <c r="L88" s="41">
        <v>0.0</v>
      </c>
      <c r="M88" s="40">
        <f t="shared" si="3"/>
        <v>79045.68</v>
      </c>
      <c r="N88" s="41">
        <v>0.0</v>
      </c>
      <c r="O88" s="41">
        <v>175250.43</v>
      </c>
      <c r="P88" s="41">
        <v>1.99599806E7</v>
      </c>
      <c r="Q88" s="40">
        <f t="shared" si="4"/>
        <v>20135231.03</v>
      </c>
    </row>
    <row r="89" ht="15.75" customHeight="1">
      <c r="A89" s="38">
        <v>85.0</v>
      </c>
      <c r="B89" s="39">
        <v>0.0</v>
      </c>
      <c r="C89" s="39">
        <v>0.0</v>
      </c>
      <c r="D89" s="39">
        <v>0.0</v>
      </c>
      <c r="E89" s="40">
        <f t="shared" si="1"/>
        <v>0</v>
      </c>
      <c r="F89" s="39">
        <v>0.0</v>
      </c>
      <c r="G89" s="39">
        <v>445993.31</v>
      </c>
      <c r="H89" s="39">
        <v>8352517.13</v>
      </c>
      <c r="I89" s="40">
        <f t="shared" si="2"/>
        <v>8798510.44</v>
      </c>
      <c r="J89" s="39">
        <v>67312.52</v>
      </c>
      <c r="K89" s="39">
        <v>468271.94</v>
      </c>
      <c r="L89" s="39">
        <v>597814.82</v>
      </c>
      <c r="M89" s="40">
        <f t="shared" si="3"/>
        <v>1133399.28</v>
      </c>
      <c r="N89" s="39">
        <v>0.0</v>
      </c>
      <c r="O89" s="39">
        <v>0.0</v>
      </c>
      <c r="P89" s="39">
        <v>0.0</v>
      </c>
      <c r="Q89" s="40">
        <f t="shared" si="4"/>
        <v>0</v>
      </c>
    </row>
    <row r="90" ht="15.75" customHeight="1">
      <c r="A90" s="38">
        <v>86.0</v>
      </c>
      <c r="B90" s="41">
        <v>653759.86</v>
      </c>
      <c r="C90" s="41">
        <v>0.0</v>
      </c>
      <c r="D90" s="41">
        <v>8658632.19</v>
      </c>
      <c r="E90" s="40">
        <f t="shared" si="1"/>
        <v>9312392.05</v>
      </c>
      <c r="F90" s="41">
        <v>0.0</v>
      </c>
      <c r="G90" s="41">
        <v>100616.21</v>
      </c>
      <c r="H90" s="41">
        <v>0.0</v>
      </c>
      <c r="I90" s="40">
        <f t="shared" si="2"/>
        <v>100616.21</v>
      </c>
      <c r="J90" s="41">
        <v>0.0</v>
      </c>
      <c r="K90" s="41">
        <v>502941.51</v>
      </c>
      <c r="L90" s="41">
        <v>2.334574964E7</v>
      </c>
      <c r="M90" s="40">
        <f t="shared" si="3"/>
        <v>23848691.15</v>
      </c>
      <c r="N90" s="41">
        <v>755890.61</v>
      </c>
      <c r="O90" s="41">
        <v>314551.78</v>
      </c>
      <c r="P90" s="41">
        <v>0.0</v>
      </c>
      <c r="Q90" s="40">
        <f t="shared" si="4"/>
        <v>1070442.39</v>
      </c>
    </row>
    <row r="91" ht="15.75" customHeight="1">
      <c r="A91" s="38">
        <v>87.0</v>
      </c>
      <c r="B91" s="39">
        <v>0.0</v>
      </c>
      <c r="C91" s="39">
        <v>0.0</v>
      </c>
      <c r="D91" s="39">
        <v>0.0</v>
      </c>
      <c r="E91" s="40">
        <f t="shared" si="1"/>
        <v>0</v>
      </c>
      <c r="F91" s="39">
        <v>5061112.48</v>
      </c>
      <c r="G91" s="39">
        <v>141324.14</v>
      </c>
      <c r="H91" s="39">
        <v>0.0</v>
      </c>
      <c r="I91" s="40">
        <f t="shared" si="2"/>
        <v>5202436.62</v>
      </c>
      <c r="J91" s="39">
        <v>0.0</v>
      </c>
      <c r="K91" s="39">
        <v>0.0</v>
      </c>
      <c r="L91" s="39">
        <v>0.0</v>
      </c>
      <c r="M91" s="40">
        <f t="shared" si="3"/>
        <v>0</v>
      </c>
      <c r="N91" s="39">
        <v>1080927.61</v>
      </c>
      <c r="O91" s="39">
        <v>0.0</v>
      </c>
      <c r="P91" s="39">
        <v>0.0</v>
      </c>
      <c r="Q91" s="40">
        <f t="shared" si="4"/>
        <v>1080927.61</v>
      </c>
    </row>
    <row r="92" ht="15.75" customHeight="1">
      <c r="A92" s="38">
        <v>88.0</v>
      </c>
      <c r="B92" s="41">
        <v>0.0</v>
      </c>
      <c r="C92" s="41">
        <v>103890.42</v>
      </c>
      <c r="D92" s="41">
        <v>3237054.62</v>
      </c>
      <c r="E92" s="40">
        <f t="shared" si="1"/>
        <v>3340945.04</v>
      </c>
      <c r="F92" s="41">
        <v>1.107548213E7</v>
      </c>
      <c r="G92" s="41">
        <v>0.0</v>
      </c>
      <c r="H92" s="41">
        <v>0.0</v>
      </c>
      <c r="I92" s="40">
        <f t="shared" si="2"/>
        <v>11075482.13</v>
      </c>
      <c r="J92" s="41">
        <v>0.0</v>
      </c>
      <c r="K92" s="41">
        <v>0.0</v>
      </c>
      <c r="L92" s="41">
        <v>0.0</v>
      </c>
      <c r="M92" s="40">
        <f t="shared" si="3"/>
        <v>0</v>
      </c>
      <c r="N92" s="41">
        <v>0.0</v>
      </c>
      <c r="O92" s="41">
        <v>107266.42</v>
      </c>
      <c r="P92" s="41">
        <v>0.0</v>
      </c>
      <c r="Q92" s="40">
        <f t="shared" si="4"/>
        <v>107266.42</v>
      </c>
    </row>
    <row r="93" ht="15.75" customHeight="1">
      <c r="A93" s="38">
        <v>89.0</v>
      </c>
      <c r="B93" s="39">
        <v>2809994.6</v>
      </c>
      <c r="C93" s="39">
        <v>95939.67</v>
      </c>
      <c r="D93" s="39">
        <v>0.0</v>
      </c>
      <c r="E93" s="40">
        <f t="shared" si="1"/>
        <v>2905934.27</v>
      </c>
      <c r="F93" s="39">
        <v>330551.86</v>
      </c>
      <c r="G93" s="39">
        <v>156598.32</v>
      </c>
      <c r="H93" s="39">
        <v>542027.47</v>
      </c>
      <c r="I93" s="40">
        <f t="shared" si="2"/>
        <v>1029177.65</v>
      </c>
      <c r="J93" s="39">
        <v>0.0</v>
      </c>
      <c r="K93" s="39">
        <v>95409.45</v>
      </c>
      <c r="L93" s="39">
        <v>0.0</v>
      </c>
      <c r="M93" s="40">
        <f t="shared" si="3"/>
        <v>95409.45</v>
      </c>
      <c r="N93" s="39">
        <v>0.0</v>
      </c>
      <c r="O93" s="39">
        <v>84906.99</v>
      </c>
      <c r="P93" s="39">
        <v>0.0</v>
      </c>
      <c r="Q93" s="40">
        <f t="shared" si="4"/>
        <v>84906.99</v>
      </c>
    </row>
    <row r="94" ht="15.75" customHeight="1">
      <c r="A94" s="38">
        <v>90.0</v>
      </c>
      <c r="B94" s="41">
        <v>0.0</v>
      </c>
      <c r="C94" s="41">
        <v>0.0</v>
      </c>
      <c r="D94" s="41">
        <v>6748191.34</v>
      </c>
      <c r="E94" s="40">
        <f t="shared" si="1"/>
        <v>6748191.34</v>
      </c>
      <c r="F94" s="41">
        <v>0.0</v>
      </c>
      <c r="G94" s="41">
        <v>313213.61</v>
      </c>
      <c r="H94" s="41">
        <v>0.0</v>
      </c>
      <c r="I94" s="40">
        <f t="shared" si="2"/>
        <v>313213.61</v>
      </c>
      <c r="J94" s="41">
        <v>0.0</v>
      </c>
      <c r="K94" s="41">
        <v>0.0</v>
      </c>
      <c r="L94" s="41">
        <v>0.0</v>
      </c>
      <c r="M94" s="40">
        <f t="shared" si="3"/>
        <v>0</v>
      </c>
      <c r="N94" s="41">
        <v>0.0</v>
      </c>
      <c r="O94" s="41">
        <v>149009.18</v>
      </c>
      <c r="P94" s="41">
        <v>0.0</v>
      </c>
      <c r="Q94" s="40">
        <f t="shared" si="4"/>
        <v>149009.18</v>
      </c>
    </row>
    <row r="95" ht="15.75" customHeight="1">
      <c r="A95" s="38">
        <v>91.0</v>
      </c>
      <c r="B95" s="39">
        <v>0.0</v>
      </c>
      <c r="C95" s="39">
        <v>0.0</v>
      </c>
      <c r="D95" s="39">
        <v>0.0</v>
      </c>
      <c r="E95" s="40">
        <f t="shared" si="1"/>
        <v>0</v>
      </c>
      <c r="F95" s="39">
        <v>0.0</v>
      </c>
      <c r="G95" s="39">
        <v>471487.62</v>
      </c>
      <c r="H95" s="39">
        <v>0.0</v>
      </c>
      <c r="I95" s="40">
        <f t="shared" si="2"/>
        <v>471487.62</v>
      </c>
      <c r="J95" s="39">
        <v>0.0</v>
      </c>
      <c r="K95" s="39">
        <v>0.0</v>
      </c>
      <c r="L95" s="39">
        <v>4503400.42</v>
      </c>
      <c r="M95" s="40">
        <f t="shared" si="3"/>
        <v>4503400.42</v>
      </c>
      <c r="N95" s="39">
        <v>0.0</v>
      </c>
      <c r="O95" s="39">
        <v>255800.47</v>
      </c>
      <c r="P95" s="39">
        <v>0.0</v>
      </c>
      <c r="Q95" s="40">
        <f t="shared" si="4"/>
        <v>255800.47</v>
      </c>
    </row>
    <row r="96" ht="15.75" customHeight="1">
      <c r="A96" s="38">
        <v>92.0</v>
      </c>
      <c r="B96" s="41">
        <v>0.0</v>
      </c>
      <c r="C96" s="41">
        <v>598772.25</v>
      </c>
      <c r="D96" s="41">
        <v>0.0</v>
      </c>
      <c r="E96" s="40">
        <f t="shared" si="1"/>
        <v>598772.25</v>
      </c>
      <c r="F96" s="41">
        <v>0.0</v>
      </c>
      <c r="G96" s="41">
        <v>0.0</v>
      </c>
      <c r="H96" s="41">
        <v>500100.29</v>
      </c>
      <c r="I96" s="40">
        <f t="shared" si="2"/>
        <v>500100.29</v>
      </c>
      <c r="J96" s="41">
        <v>0.0</v>
      </c>
      <c r="K96" s="41">
        <v>361418.11</v>
      </c>
      <c r="L96" s="41">
        <v>0.0</v>
      </c>
      <c r="M96" s="40">
        <f t="shared" si="3"/>
        <v>361418.11</v>
      </c>
      <c r="N96" s="41">
        <v>0.0</v>
      </c>
      <c r="O96" s="41">
        <v>187570.88</v>
      </c>
      <c r="P96" s="41">
        <v>0.0</v>
      </c>
      <c r="Q96" s="40">
        <f t="shared" si="4"/>
        <v>187570.88</v>
      </c>
    </row>
    <row r="97" ht="15.75" customHeight="1">
      <c r="A97" s="38">
        <v>93.0</v>
      </c>
      <c r="B97" s="39">
        <v>0.0</v>
      </c>
      <c r="C97" s="39">
        <v>626783.24</v>
      </c>
      <c r="D97" s="39">
        <v>2796747.89</v>
      </c>
      <c r="E97" s="40">
        <f t="shared" si="1"/>
        <v>3423531.13</v>
      </c>
      <c r="F97" s="39">
        <v>0.0</v>
      </c>
      <c r="G97" s="39">
        <v>409399.47</v>
      </c>
      <c r="H97" s="39">
        <v>0.0</v>
      </c>
      <c r="I97" s="40">
        <f t="shared" si="2"/>
        <v>409399.47</v>
      </c>
      <c r="J97" s="39">
        <v>2220770.74</v>
      </c>
      <c r="K97" s="39">
        <v>0.0</v>
      </c>
      <c r="L97" s="39">
        <v>2169483.79</v>
      </c>
      <c r="M97" s="40">
        <f t="shared" si="3"/>
        <v>4390254.53</v>
      </c>
      <c r="N97" s="39">
        <v>0.0</v>
      </c>
      <c r="O97" s="39">
        <v>652848.6</v>
      </c>
      <c r="P97" s="39">
        <v>0.0</v>
      </c>
      <c r="Q97" s="40">
        <f t="shared" si="4"/>
        <v>652848.6</v>
      </c>
    </row>
    <row r="98" ht="15.75" customHeight="1">
      <c r="A98" s="38">
        <v>94.0</v>
      </c>
      <c r="B98" s="41">
        <v>0.0</v>
      </c>
      <c r="C98" s="41">
        <v>157508.21</v>
      </c>
      <c r="D98" s="41">
        <v>0.0</v>
      </c>
      <c r="E98" s="40">
        <f t="shared" si="1"/>
        <v>157508.21</v>
      </c>
      <c r="F98" s="41">
        <v>0.0</v>
      </c>
      <c r="G98" s="41">
        <v>0.0</v>
      </c>
      <c r="H98" s="41">
        <v>4498568.1</v>
      </c>
      <c r="I98" s="40">
        <f t="shared" si="2"/>
        <v>4498568.1</v>
      </c>
      <c r="J98" s="41">
        <v>0.0</v>
      </c>
      <c r="K98" s="41">
        <v>85763.22</v>
      </c>
      <c r="L98" s="41">
        <v>0.0</v>
      </c>
      <c r="M98" s="40">
        <f t="shared" si="3"/>
        <v>85763.22</v>
      </c>
      <c r="N98" s="41">
        <v>0.0</v>
      </c>
      <c r="O98" s="41">
        <v>162728.42</v>
      </c>
      <c r="P98" s="41">
        <v>456269.48</v>
      </c>
      <c r="Q98" s="40">
        <f t="shared" si="4"/>
        <v>618997.9</v>
      </c>
    </row>
    <row r="99" ht="15.75" customHeight="1">
      <c r="A99" s="38">
        <v>95.0</v>
      </c>
      <c r="B99" s="39">
        <v>0.0</v>
      </c>
      <c r="C99" s="39">
        <v>457045.21</v>
      </c>
      <c r="D99" s="39">
        <v>0.0</v>
      </c>
      <c r="E99" s="40">
        <f t="shared" si="1"/>
        <v>457045.21</v>
      </c>
      <c r="F99" s="39">
        <v>822116.78</v>
      </c>
      <c r="G99" s="39">
        <v>0.0</v>
      </c>
      <c r="H99" s="39">
        <v>0.0</v>
      </c>
      <c r="I99" s="40">
        <f t="shared" si="2"/>
        <v>822116.78</v>
      </c>
      <c r="J99" s="39">
        <v>0.0</v>
      </c>
      <c r="K99" s="39">
        <v>52196.66</v>
      </c>
      <c r="L99" s="39">
        <v>0.0</v>
      </c>
      <c r="M99" s="40">
        <f t="shared" si="3"/>
        <v>52196.66</v>
      </c>
      <c r="N99" s="39">
        <v>3780023.46</v>
      </c>
      <c r="O99" s="39">
        <v>276739.54</v>
      </c>
      <c r="P99" s="39">
        <v>0.0</v>
      </c>
      <c r="Q99" s="40">
        <f t="shared" si="4"/>
        <v>4056763</v>
      </c>
    </row>
    <row r="100" ht="15.75" customHeight="1">
      <c r="A100" s="38">
        <v>96.0</v>
      </c>
      <c r="B100" s="41">
        <v>223987.55</v>
      </c>
      <c r="C100" s="41">
        <v>823627.95</v>
      </c>
      <c r="D100" s="41">
        <v>0.0</v>
      </c>
      <c r="E100" s="40">
        <f t="shared" si="1"/>
        <v>1047615.5</v>
      </c>
      <c r="F100" s="41">
        <v>0.0</v>
      </c>
      <c r="G100" s="41">
        <v>409311.25</v>
      </c>
      <c r="H100" s="41">
        <v>0.0</v>
      </c>
      <c r="I100" s="40">
        <f t="shared" si="2"/>
        <v>409311.25</v>
      </c>
      <c r="J100" s="41">
        <v>162140.67</v>
      </c>
      <c r="K100" s="41">
        <v>231086.16</v>
      </c>
      <c r="L100" s="41">
        <v>0.0</v>
      </c>
      <c r="M100" s="40">
        <f t="shared" si="3"/>
        <v>393226.83</v>
      </c>
      <c r="N100" s="41">
        <v>0.0</v>
      </c>
      <c r="O100" s="41">
        <v>199493.81</v>
      </c>
      <c r="P100" s="41">
        <v>0.0</v>
      </c>
      <c r="Q100" s="40">
        <f t="shared" si="4"/>
        <v>199493.81</v>
      </c>
    </row>
    <row r="101" ht="15.75" customHeight="1">
      <c r="A101" s="38">
        <v>97.0</v>
      </c>
      <c r="B101" s="39">
        <v>0.0</v>
      </c>
      <c r="C101" s="39">
        <v>0.0</v>
      </c>
      <c r="D101" s="39">
        <v>0.0</v>
      </c>
      <c r="E101" s="40">
        <f t="shared" si="1"/>
        <v>0</v>
      </c>
      <c r="F101" s="39">
        <v>0.0</v>
      </c>
      <c r="G101" s="39">
        <v>0.0</v>
      </c>
      <c r="H101" s="39">
        <v>0.0</v>
      </c>
      <c r="I101" s="40">
        <f t="shared" si="2"/>
        <v>0</v>
      </c>
      <c r="J101" s="39">
        <v>0.0</v>
      </c>
      <c r="K101" s="39">
        <v>141567.07</v>
      </c>
      <c r="L101" s="39">
        <v>0.0</v>
      </c>
      <c r="M101" s="40">
        <f t="shared" si="3"/>
        <v>141567.07</v>
      </c>
      <c r="N101" s="39">
        <v>509187.79</v>
      </c>
      <c r="O101" s="39">
        <v>56366.09</v>
      </c>
      <c r="P101" s="39">
        <v>0.0</v>
      </c>
      <c r="Q101" s="40">
        <f t="shared" si="4"/>
        <v>565553.88</v>
      </c>
    </row>
    <row r="102" ht="15.75" customHeight="1">
      <c r="A102" s="38">
        <v>98.0</v>
      </c>
      <c r="B102" s="41">
        <v>0.0</v>
      </c>
      <c r="C102" s="41">
        <v>848906.71</v>
      </c>
      <c r="D102" s="41">
        <v>9551657.32</v>
      </c>
      <c r="E102" s="40">
        <f t="shared" si="1"/>
        <v>10400564.03</v>
      </c>
      <c r="F102" s="41">
        <v>3998556.74</v>
      </c>
      <c r="G102" s="41">
        <v>0.0</v>
      </c>
      <c r="H102" s="41">
        <v>0.0</v>
      </c>
      <c r="I102" s="40">
        <f t="shared" si="2"/>
        <v>3998556.74</v>
      </c>
      <c r="J102" s="41">
        <v>0.0</v>
      </c>
      <c r="K102" s="41">
        <v>94429.22</v>
      </c>
      <c r="L102" s="41">
        <v>0.0</v>
      </c>
      <c r="M102" s="40">
        <f t="shared" si="3"/>
        <v>94429.22</v>
      </c>
      <c r="N102" s="41">
        <v>496211.64</v>
      </c>
      <c r="O102" s="41">
        <v>0.0</v>
      </c>
      <c r="P102" s="41">
        <v>0.0</v>
      </c>
      <c r="Q102" s="40">
        <f t="shared" si="4"/>
        <v>496211.64</v>
      </c>
    </row>
    <row r="103" ht="15.75" customHeight="1">
      <c r="A103" s="38">
        <v>99.0</v>
      </c>
      <c r="B103" s="39">
        <v>574832.11</v>
      </c>
      <c r="C103" s="39">
        <v>546309.48</v>
      </c>
      <c r="D103" s="39">
        <v>0.0</v>
      </c>
      <c r="E103" s="40">
        <f t="shared" si="1"/>
        <v>1121141.59</v>
      </c>
      <c r="F103" s="39">
        <v>0.0</v>
      </c>
      <c r="G103" s="39">
        <v>410353.95</v>
      </c>
      <c r="H103" s="39">
        <v>0.0</v>
      </c>
      <c r="I103" s="40">
        <f t="shared" si="2"/>
        <v>410353.95</v>
      </c>
      <c r="J103" s="39">
        <v>0.0</v>
      </c>
      <c r="K103" s="39">
        <v>104776.8</v>
      </c>
      <c r="L103" s="39">
        <v>0.0</v>
      </c>
      <c r="M103" s="40">
        <f t="shared" si="3"/>
        <v>104776.8</v>
      </c>
      <c r="N103" s="39">
        <v>0.0</v>
      </c>
      <c r="O103" s="39">
        <v>128009.16</v>
      </c>
      <c r="P103" s="39">
        <v>0.0</v>
      </c>
      <c r="Q103" s="40">
        <f t="shared" si="4"/>
        <v>128009.16</v>
      </c>
    </row>
    <row r="104" ht="15.75" customHeight="1">
      <c r="A104" s="38">
        <v>100.0</v>
      </c>
      <c r="B104" s="41">
        <v>6338547.13</v>
      </c>
      <c r="C104" s="41">
        <v>911989.33</v>
      </c>
      <c r="D104" s="41">
        <v>0.0</v>
      </c>
      <c r="E104" s="40">
        <f t="shared" si="1"/>
        <v>7250536.46</v>
      </c>
      <c r="F104" s="41">
        <v>0.0</v>
      </c>
      <c r="G104" s="41">
        <v>452345.81</v>
      </c>
      <c r="H104" s="41">
        <v>5556404.98</v>
      </c>
      <c r="I104" s="40">
        <f t="shared" si="2"/>
        <v>6008750.79</v>
      </c>
      <c r="J104" s="41">
        <v>2638084.39</v>
      </c>
      <c r="K104" s="41">
        <v>915573.23</v>
      </c>
      <c r="L104" s="41">
        <v>1540296.96</v>
      </c>
      <c r="M104" s="40">
        <f t="shared" si="3"/>
        <v>5093954.58</v>
      </c>
      <c r="N104" s="41">
        <v>75335.77</v>
      </c>
      <c r="O104" s="41">
        <v>304468.02</v>
      </c>
      <c r="P104" s="41">
        <v>0.0</v>
      </c>
      <c r="Q104" s="40">
        <f t="shared" si="4"/>
        <v>379803.79</v>
      </c>
    </row>
    <row r="105" ht="15.75" customHeight="1">
      <c r="A105" s="38">
        <v>101.0</v>
      </c>
      <c r="B105" s="39">
        <v>5197053.02</v>
      </c>
      <c r="C105" s="39">
        <v>0.0</v>
      </c>
      <c r="D105" s="39">
        <v>0.0</v>
      </c>
      <c r="E105" s="40">
        <f t="shared" si="1"/>
        <v>5197053.02</v>
      </c>
      <c r="F105" s="39">
        <v>0.0</v>
      </c>
      <c r="G105" s="39">
        <v>3254467.08</v>
      </c>
      <c r="H105" s="39">
        <v>0.0</v>
      </c>
      <c r="I105" s="40">
        <f t="shared" si="2"/>
        <v>3254467.08</v>
      </c>
      <c r="J105" s="39">
        <v>1.160186634E7</v>
      </c>
      <c r="K105" s="39">
        <v>26395.22</v>
      </c>
      <c r="L105" s="39">
        <v>0.0</v>
      </c>
      <c r="M105" s="40">
        <f t="shared" si="3"/>
        <v>11628261.56</v>
      </c>
      <c r="N105" s="39">
        <v>3690445.1</v>
      </c>
      <c r="O105" s="39">
        <v>187489.45</v>
      </c>
      <c r="P105" s="39">
        <v>0.0</v>
      </c>
      <c r="Q105" s="40">
        <f t="shared" si="4"/>
        <v>3877934.55</v>
      </c>
    </row>
    <row r="106" ht="15.75" customHeight="1">
      <c r="A106" s="38">
        <v>102.0</v>
      </c>
      <c r="B106" s="41">
        <v>0.0</v>
      </c>
      <c r="C106" s="41">
        <v>98480.76</v>
      </c>
      <c r="D106" s="41">
        <v>0.0</v>
      </c>
      <c r="E106" s="40">
        <f t="shared" si="1"/>
        <v>98480.76</v>
      </c>
      <c r="F106" s="41">
        <v>0.0</v>
      </c>
      <c r="G106" s="41">
        <v>0.0</v>
      </c>
      <c r="H106" s="41">
        <v>0.0</v>
      </c>
      <c r="I106" s="40">
        <f t="shared" si="2"/>
        <v>0</v>
      </c>
      <c r="J106" s="41">
        <v>0.0</v>
      </c>
      <c r="K106" s="41">
        <v>647337.4</v>
      </c>
      <c r="L106" s="41">
        <v>0.0</v>
      </c>
      <c r="M106" s="40">
        <f t="shared" si="3"/>
        <v>647337.4</v>
      </c>
      <c r="N106" s="41">
        <v>1158932.26</v>
      </c>
      <c r="O106" s="41">
        <v>0.0</v>
      </c>
      <c r="P106" s="41">
        <v>0.0</v>
      </c>
      <c r="Q106" s="40">
        <f t="shared" si="4"/>
        <v>1158932.26</v>
      </c>
    </row>
    <row r="107" ht="15.75" customHeight="1">
      <c r="A107" s="38">
        <v>103.0</v>
      </c>
      <c r="B107" s="39">
        <v>0.0</v>
      </c>
      <c r="C107" s="39">
        <v>514123.6</v>
      </c>
      <c r="D107" s="39">
        <v>0.0</v>
      </c>
      <c r="E107" s="40">
        <f t="shared" si="1"/>
        <v>514123.6</v>
      </c>
      <c r="F107" s="39">
        <v>0.0</v>
      </c>
      <c r="G107" s="39">
        <v>221197.29</v>
      </c>
      <c r="H107" s="39">
        <v>0.0</v>
      </c>
      <c r="I107" s="40">
        <f t="shared" si="2"/>
        <v>221197.29</v>
      </c>
      <c r="J107" s="39">
        <v>0.0</v>
      </c>
      <c r="K107" s="39">
        <v>0.0</v>
      </c>
      <c r="L107" s="39">
        <v>0.0</v>
      </c>
      <c r="M107" s="40">
        <f t="shared" si="3"/>
        <v>0</v>
      </c>
      <c r="N107" s="39">
        <v>0.0</v>
      </c>
      <c r="O107" s="39">
        <v>157690.61</v>
      </c>
      <c r="P107" s="39">
        <v>0.0</v>
      </c>
      <c r="Q107" s="40">
        <f t="shared" si="4"/>
        <v>157690.61</v>
      </c>
    </row>
    <row r="108" ht="15.75" customHeight="1">
      <c r="A108" s="38">
        <v>104.0</v>
      </c>
      <c r="B108" s="41">
        <v>1697004.21</v>
      </c>
      <c r="C108" s="41">
        <v>0.0</v>
      </c>
      <c r="D108" s="41">
        <v>0.0</v>
      </c>
      <c r="E108" s="40">
        <f t="shared" si="1"/>
        <v>1697004.21</v>
      </c>
      <c r="F108" s="41">
        <v>0.0</v>
      </c>
      <c r="G108" s="41">
        <v>0.0</v>
      </c>
      <c r="H108" s="41">
        <v>0.0</v>
      </c>
      <c r="I108" s="40">
        <f t="shared" si="2"/>
        <v>0</v>
      </c>
      <c r="J108" s="41">
        <v>782027.42</v>
      </c>
      <c r="K108" s="41">
        <v>503860.1</v>
      </c>
      <c r="L108" s="41">
        <v>0.0</v>
      </c>
      <c r="M108" s="40">
        <f t="shared" si="3"/>
        <v>1285887.52</v>
      </c>
      <c r="N108" s="41">
        <v>0.0</v>
      </c>
      <c r="O108" s="41">
        <v>72927.98</v>
      </c>
      <c r="P108" s="41">
        <v>0.0</v>
      </c>
      <c r="Q108" s="40">
        <f t="shared" si="4"/>
        <v>72927.98</v>
      </c>
    </row>
    <row r="109" ht="15.75" customHeight="1">
      <c r="A109" s="38">
        <v>105.0</v>
      </c>
      <c r="B109" s="39">
        <v>0.0</v>
      </c>
      <c r="C109" s="39">
        <v>0.0</v>
      </c>
      <c r="D109" s="39">
        <v>0.0</v>
      </c>
      <c r="E109" s="40">
        <f t="shared" si="1"/>
        <v>0</v>
      </c>
      <c r="F109" s="39">
        <v>2582294.34</v>
      </c>
      <c r="G109" s="39">
        <v>681985.23</v>
      </c>
      <c r="H109" s="39">
        <v>0.0</v>
      </c>
      <c r="I109" s="40">
        <f t="shared" si="2"/>
        <v>3264279.57</v>
      </c>
      <c r="J109" s="39">
        <v>2436126.19</v>
      </c>
      <c r="K109" s="39">
        <v>255376.86</v>
      </c>
      <c r="L109" s="39">
        <v>0.0</v>
      </c>
      <c r="M109" s="40">
        <f t="shared" si="3"/>
        <v>2691503.05</v>
      </c>
      <c r="N109" s="39">
        <v>1486052.27</v>
      </c>
      <c r="O109" s="39">
        <v>265431.34</v>
      </c>
      <c r="P109" s="39">
        <v>0.0</v>
      </c>
      <c r="Q109" s="40">
        <f t="shared" si="4"/>
        <v>1751483.61</v>
      </c>
    </row>
    <row r="110" ht="15.75" customHeight="1">
      <c r="A110" s="38">
        <v>106.0</v>
      </c>
      <c r="B110" s="41">
        <v>0.0</v>
      </c>
      <c r="C110" s="41">
        <v>205705.2</v>
      </c>
      <c r="D110" s="41">
        <v>2499646.45</v>
      </c>
      <c r="E110" s="40">
        <f t="shared" si="1"/>
        <v>2705351.65</v>
      </c>
      <c r="F110" s="41">
        <v>0.0</v>
      </c>
      <c r="G110" s="41">
        <v>0.0</v>
      </c>
      <c r="H110" s="41">
        <v>0.0</v>
      </c>
      <c r="I110" s="40">
        <f t="shared" si="2"/>
        <v>0</v>
      </c>
      <c r="J110" s="41">
        <v>1856922.15</v>
      </c>
      <c r="K110" s="41">
        <v>340322.2</v>
      </c>
      <c r="L110" s="41">
        <v>0.0</v>
      </c>
      <c r="M110" s="40">
        <f t="shared" si="3"/>
        <v>2197244.35</v>
      </c>
      <c r="N110" s="41">
        <v>0.0</v>
      </c>
      <c r="O110" s="41">
        <v>79002.97</v>
      </c>
      <c r="P110" s="41">
        <v>4845574.8</v>
      </c>
      <c r="Q110" s="40">
        <f t="shared" si="4"/>
        <v>4924577.77</v>
      </c>
    </row>
    <row r="111" ht="15.75" customHeight="1">
      <c r="A111" s="38">
        <v>107.0</v>
      </c>
      <c r="B111" s="39">
        <v>5020340.27</v>
      </c>
      <c r="C111" s="39">
        <v>1618939.3</v>
      </c>
      <c r="D111" s="39">
        <v>0.0</v>
      </c>
      <c r="E111" s="40">
        <f t="shared" si="1"/>
        <v>6639279.57</v>
      </c>
      <c r="F111" s="39">
        <v>1534520.22</v>
      </c>
      <c r="G111" s="39">
        <v>174679.72</v>
      </c>
      <c r="H111" s="39">
        <v>0.0</v>
      </c>
      <c r="I111" s="40">
        <f t="shared" si="2"/>
        <v>1709199.94</v>
      </c>
      <c r="J111" s="39">
        <v>4335381.64</v>
      </c>
      <c r="K111" s="39">
        <v>56373.09</v>
      </c>
      <c r="L111" s="39">
        <v>0.0</v>
      </c>
      <c r="M111" s="40">
        <f t="shared" si="3"/>
        <v>4391754.73</v>
      </c>
      <c r="N111" s="39">
        <v>0.0</v>
      </c>
      <c r="O111" s="39">
        <v>0.0</v>
      </c>
      <c r="P111" s="39">
        <v>0.0</v>
      </c>
      <c r="Q111" s="40">
        <f t="shared" si="4"/>
        <v>0</v>
      </c>
    </row>
    <row r="112" ht="15.75" customHeight="1">
      <c r="A112" s="38">
        <v>108.0</v>
      </c>
      <c r="B112" s="41">
        <v>0.0</v>
      </c>
      <c r="C112" s="41">
        <v>201851.72</v>
      </c>
      <c r="D112" s="41">
        <v>0.0</v>
      </c>
      <c r="E112" s="40">
        <f t="shared" si="1"/>
        <v>201851.72</v>
      </c>
      <c r="F112" s="41">
        <v>0.0</v>
      </c>
      <c r="G112" s="41">
        <v>62332.15</v>
      </c>
      <c r="H112" s="41">
        <v>2255513.18</v>
      </c>
      <c r="I112" s="40">
        <f t="shared" si="2"/>
        <v>2317845.33</v>
      </c>
      <c r="J112" s="41">
        <v>0.0</v>
      </c>
      <c r="K112" s="41">
        <v>0.0</v>
      </c>
      <c r="L112" s="41">
        <v>0.0</v>
      </c>
      <c r="M112" s="40">
        <f t="shared" si="3"/>
        <v>0</v>
      </c>
      <c r="N112" s="41">
        <v>0.0</v>
      </c>
      <c r="O112" s="41">
        <v>0.0</v>
      </c>
      <c r="P112" s="41">
        <v>0.0</v>
      </c>
      <c r="Q112" s="40">
        <f t="shared" si="4"/>
        <v>0</v>
      </c>
    </row>
    <row r="113" ht="15.75" customHeight="1">
      <c r="A113" s="38">
        <v>109.0</v>
      </c>
      <c r="B113" s="39">
        <v>201253.95</v>
      </c>
      <c r="C113" s="39">
        <v>0.0</v>
      </c>
      <c r="D113" s="39">
        <v>0.0</v>
      </c>
      <c r="E113" s="40">
        <f t="shared" si="1"/>
        <v>201253.95</v>
      </c>
      <c r="F113" s="39">
        <v>3249205.12</v>
      </c>
      <c r="G113" s="39">
        <v>0.0</v>
      </c>
      <c r="H113" s="39">
        <v>0.0</v>
      </c>
      <c r="I113" s="40">
        <f t="shared" si="2"/>
        <v>3249205.12</v>
      </c>
      <c r="J113" s="39">
        <v>0.0</v>
      </c>
      <c r="K113" s="39">
        <v>162120.98</v>
      </c>
      <c r="L113" s="39">
        <v>0.0</v>
      </c>
      <c r="M113" s="40">
        <f t="shared" si="3"/>
        <v>162120.98</v>
      </c>
      <c r="N113" s="39">
        <v>0.0</v>
      </c>
      <c r="O113" s="39">
        <v>136939.43</v>
      </c>
      <c r="P113" s="39">
        <v>6449853.46</v>
      </c>
      <c r="Q113" s="40">
        <f t="shared" si="4"/>
        <v>6586792.89</v>
      </c>
    </row>
    <row r="114" ht="15.75" customHeight="1">
      <c r="A114" s="38">
        <v>110.0</v>
      </c>
      <c r="B114" s="41">
        <v>0.0</v>
      </c>
      <c r="C114" s="41">
        <v>0.0</v>
      </c>
      <c r="D114" s="41">
        <v>0.0</v>
      </c>
      <c r="E114" s="40">
        <f t="shared" si="1"/>
        <v>0</v>
      </c>
      <c r="F114" s="41">
        <v>1969720.93</v>
      </c>
      <c r="G114" s="41">
        <v>0.0</v>
      </c>
      <c r="H114" s="41">
        <v>7508096.5</v>
      </c>
      <c r="I114" s="40">
        <f t="shared" si="2"/>
        <v>9477817.43</v>
      </c>
      <c r="J114" s="41">
        <v>396180.19</v>
      </c>
      <c r="K114" s="41">
        <v>0.0</v>
      </c>
      <c r="L114" s="41">
        <v>6995410.09</v>
      </c>
      <c r="M114" s="40">
        <f t="shared" si="3"/>
        <v>7391590.28</v>
      </c>
      <c r="N114" s="41">
        <v>3401173.45</v>
      </c>
      <c r="O114" s="41">
        <v>197126.01</v>
      </c>
      <c r="P114" s="41">
        <v>0.0</v>
      </c>
      <c r="Q114" s="40">
        <f t="shared" si="4"/>
        <v>3598299.46</v>
      </c>
    </row>
    <row r="115" ht="15.75" customHeight="1">
      <c r="A115" s="38">
        <v>111.0</v>
      </c>
      <c r="B115" s="39">
        <v>0.0</v>
      </c>
      <c r="C115" s="39">
        <v>425119.17</v>
      </c>
      <c r="D115" s="39">
        <v>9875101.34</v>
      </c>
      <c r="E115" s="40">
        <f t="shared" si="1"/>
        <v>10300220.51</v>
      </c>
      <c r="F115" s="39">
        <v>6889451.09</v>
      </c>
      <c r="G115" s="39">
        <v>502225.46</v>
      </c>
      <c r="H115" s="39">
        <v>1695967.72</v>
      </c>
      <c r="I115" s="40">
        <f t="shared" si="2"/>
        <v>9087644.27</v>
      </c>
      <c r="J115" s="39">
        <v>411200.76</v>
      </c>
      <c r="K115" s="39">
        <v>259026.91</v>
      </c>
      <c r="L115" s="39">
        <v>0.0</v>
      </c>
      <c r="M115" s="40">
        <f t="shared" si="3"/>
        <v>670227.67</v>
      </c>
      <c r="N115" s="39">
        <v>0.0</v>
      </c>
      <c r="O115" s="39">
        <v>100723.24</v>
      </c>
      <c r="P115" s="39">
        <v>0.0</v>
      </c>
      <c r="Q115" s="40">
        <f t="shared" si="4"/>
        <v>100723.24</v>
      </c>
    </row>
    <row r="116" ht="15.75" customHeight="1">
      <c r="A116" s="38">
        <v>112.0</v>
      </c>
      <c r="B116" s="41">
        <v>0.0</v>
      </c>
      <c r="C116" s="41">
        <v>129587.66</v>
      </c>
      <c r="D116" s="41">
        <v>0.0</v>
      </c>
      <c r="E116" s="40">
        <f t="shared" si="1"/>
        <v>129587.66</v>
      </c>
      <c r="F116" s="41">
        <v>0.0</v>
      </c>
      <c r="G116" s="41">
        <v>0.0</v>
      </c>
      <c r="H116" s="41">
        <v>0.0</v>
      </c>
      <c r="I116" s="40">
        <f t="shared" si="2"/>
        <v>0</v>
      </c>
      <c r="J116" s="41">
        <v>6093742.02</v>
      </c>
      <c r="K116" s="41">
        <v>0.0</v>
      </c>
      <c r="L116" s="41">
        <v>0.0</v>
      </c>
      <c r="M116" s="40">
        <f t="shared" si="3"/>
        <v>6093742.02</v>
      </c>
      <c r="N116" s="41">
        <v>0.0</v>
      </c>
      <c r="O116" s="41">
        <v>47600.61</v>
      </c>
      <c r="P116" s="41">
        <v>0.0</v>
      </c>
      <c r="Q116" s="40">
        <f t="shared" si="4"/>
        <v>47600.61</v>
      </c>
    </row>
    <row r="117" ht="15.75" customHeight="1">
      <c r="A117" s="38">
        <v>113.0</v>
      </c>
      <c r="B117" s="39">
        <v>0.0</v>
      </c>
      <c r="C117" s="39">
        <v>5145567.25</v>
      </c>
      <c r="D117" s="39">
        <v>0.0</v>
      </c>
      <c r="E117" s="40">
        <f t="shared" si="1"/>
        <v>5145567.25</v>
      </c>
      <c r="F117" s="39">
        <v>276333.42</v>
      </c>
      <c r="G117" s="39">
        <v>290324.51</v>
      </c>
      <c r="H117" s="39">
        <v>0.0</v>
      </c>
      <c r="I117" s="40">
        <f t="shared" si="2"/>
        <v>566657.93</v>
      </c>
      <c r="J117" s="39">
        <v>0.0</v>
      </c>
      <c r="K117" s="39">
        <v>0.0</v>
      </c>
      <c r="L117" s="39">
        <v>0.0</v>
      </c>
      <c r="M117" s="40">
        <f t="shared" si="3"/>
        <v>0</v>
      </c>
      <c r="N117" s="39">
        <v>1.400845967E7</v>
      </c>
      <c r="O117" s="39">
        <v>158918.85</v>
      </c>
      <c r="P117" s="39">
        <v>0.0</v>
      </c>
      <c r="Q117" s="40">
        <f t="shared" si="4"/>
        <v>14167378.52</v>
      </c>
    </row>
    <row r="118" ht="15.75" customHeight="1">
      <c r="A118" s="38">
        <v>114.0</v>
      </c>
      <c r="B118" s="41">
        <v>0.0</v>
      </c>
      <c r="C118" s="41">
        <v>641045.93</v>
      </c>
      <c r="D118" s="41">
        <v>0.0</v>
      </c>
      <c r="E118" s="40">
        <f t="shared" si="1"/>
        <v>641045.93</v>
      </c>
      <c r="F118" s="41">
        <v>0.0</v>
      </c>
      <c r="G118" s="41">
        <v>290878.33</v>
      </c>
      <c r="H118" s="41">
        <v>0.0</v>
      </c>
      <c r="I118" s="40">
        <f t="shared" si="2"/>
        <v>290878.33</v>
      </c>
      <c r="J118" s="41">
        <v>0.0</v>
      </c>
      <c r="K118" s="41">
        <v>0.0</v>
      </c>
      <c r="L118" s="41">
        <v>0.0</v>
      </c>
      <c r="M118" s="40">
        <f t="shared" si="3"/>
        <v>0</v>
      </c>
      <c r="N118" s="41">
        <v>1292755.38</v>
      </c>
      <c r="O118" s="41">
        <v>355337.13</v>
      </c>
      <c r="P118" s="41">
        <v>1293960.65</v>
      </c>
      <c r="Q118" s="40">
        <f t="shared" si="4"/>
        <v>2942053.16</v>
      </c>
    </row>
    <row r="119" ht="15.75" customHeight="1">
      <c r="A119" s="38">
        <v>115.0</v>
      </c>
      <c r="B119" s="39">
        <v>0.0</v>
      </c>
      <c r="C119" s="39">
        <v>0.0</v>
      </c>
      <c r="D119" s="39">
        <v>0.0</v>
      </c>
      <c r="E119" s="40">
        <f t="shared" si="1"/>
        <v>0</v>
      </c>
      <c r="F119" s="39">
        <v>0.0</v>
      </c>
      <c r="G119" s="39">
        <v>130325.3</v>
      </c>
      <c r="H119" s="39">
        <v>0.0</v>
      </c>
      <c r="I119" s="40">
        <f t="shared" si="2"/>
        <v>130325.3</v>
      </c>
      <c r="J119" s="39">
        <v>705515.64</v>
      </c>
      <c r="K119" s="39">
        <v>0.0</v>
      </c>
      <c r="L119" s="39">
        <v>0.0</v>
      </c>
      <c r="M119" s="40">
        <f t="shared" si="3"/>
        <v>705515.64</v>
      </c>
      <c r="N119" s="39">
        <v>7563591.8</v>
      </c>
      <c r="O119" s="39">
        <v>29424.23</v>
      </c>
      <c r="P119" s="39">
        <v>0.0</v>
      </c>
      <c r="Q119" s="40">
        <f t="shared" si="4"/>
        <v>7593016.03</v>
      </c>
    </row>
    <row r="120" ht="15.75" customHeight="1">
      <c r="A120" s="38">
        <v>116.0</v>
      </c>
      <c r="B120" s="41">
        <v>1463468.91</v>
      </c>
      <c r="C120" s="41">
        <v>0.0</v>
      </c>
      <c r="D120" s="41">
        <v>0.0</v>
      </c>
      <c r="E120" s="40">
        <f t="shared" si="1"/>
        <v>1463468.91</v>
      </c>
      <c r="F120" s="41">
        <v>644603.35</v>
      </c>
      <c r="G120" s="41">
        <v>0.0</v>
      </c>
      <c r="H120" s="41">
        <v>0.0</v>
      </c>
      <c r="I120" s="40">
        <f t="shared" si="2"/>
        <v>644603.35</v>
      </c>
      <c r="J120" s="41">
        <v>0.0</v>
      </c>
      <c r="K120" s="41">
        <v>0.0</v>
      </c>
      <c r="L120" s="41">
        <v>0.0</v>
      </c>
      <c r="M120" s="40">
        <f t="shared" si="3"/>
        <v>0</v>
      </c>
      <c r="N120" s="41">
        <v>972980.86</v>
      </c>
      <c r="O120" s="41">
        <v>605922.95</v>
      </c>
      <c r="P120" s="41">
        <v>0.0</v>
      </c>
      <c r="Q120" s="40">
        <f t="shared" si="4"/>
        <v>1578903.81</v>
      </c>
    </row>
    <row r="121" ht="15.75" customHeight="1">
      <c r="A121" s="38">
        <v>117.0</v>
      </c>
      <c r="B121" s="39">
        <v>0.0</v>
      </c>
      <c r="C121" s="39">
        <v>0.0</v>
      </c>
      <c r="D121" s="39">
        <v>0.0</v>
      </c>
      <c r="E121" s="40">
        <f t="shared" si="1"/>
        <v>0</v>
      </c>
      <c r="F121" s="39">
        <v>0.0</v>
      </c>
      <c r="G121" s="39">
        <v>1603812.0</v>
      </c>
      <c r="H121" s="39">
        <v>0.0</v>
      </c>
      <c r="I121" s="40">
        <f t="shared" si="2"/>
        <v>1603812</v>
      </c>
      <c r="J121" s="39">
        <v>0.0</v>
      </c>
      <c r="K121" s="39">
        <v>279310.98</v>
      </c>
      <c r="L121" s="39">
        <v>2812375.45</v>
      </c>
      <c r="M121" s="40">
        <f t="shared" si="3"/>
        <v>3091686.43</v>
      </c>
      <c r="N121" s="39">
        <v>0.0</v>
      </c>
      <c r="O121" s="39">
        <v>0.0</v>
      </c>
      <c r="P121" s="39">
        <v>0.0</v>
      </c>
      <c r="Q121" s="40">
        <f t="shared" si="4"/>
        <v>0</v>
      </c>
    </row>
    <row r="122" ht="15.75" customHeight="1">
      <c r="A122" s="38">
        <v>118.0</v>
      </c>
      <c r="B122" s="41">
        <v>0.0</v>
      </c>
      <c r="C122" s="41">
        <v>1842819.16</v>
      </c>
      <c r="D122" s="41">
        <v>0.0</v>
      </c>
      <c r="E122" s="40">
        <f t="shared" si="1"/>
        <v>1842819.16</v>
      </c>
      <c r="F122" s="41">
        <v>0.0</v>
      </c>
      <c r="G122" s="41">
        <v>274124.28</v>
      </c>
      <c r="H122" s="41">
        <v>0.0</v>
      </c>
      <c r="I122" s="40">
        <f t="shared" si="2"/>
        <v>274124.28</v>
      </c>
      <c r="J122" s="41">
        <v>0.0</v>
      </c>
      <c r="K122" s="41">
        <v>0.0</v>
      </c>
      <c r="L122" s="41">
        <v>0.0</v>
      </c>
      <c r="M122" s="40">
        <f t="shared" si="3"/>
        <v>0</v>
      </c>
      <c r="N122" s="41">
        <v>0.0</v>
      </c>
      <c r="O122" s="41">
        <v>122441.31</v>
      </c>
      <c r="P122" s="41">
        <v>0.0</v>
      </c>
      <c r="Q122" s="40">
        <f t="shared" si="4"/>
        <v>122441.31</v>
      </c>
    </row>
    <row r="123" ht="15.75" customHeight="1">
      <c r="A123" s="38">
        <v>119.0</v>
      </c>
      <c r="B123" s="39">
        <v>0.0</v>
      </c>
      <c r="C123" s="39">
        <v>0.0</v>
      </c>
      <c r="D123" s="39">
        <v>0.0</v>
      </c>
      <c r="E123" s="40">
        <f t="shared" si="1"/>
        <v>0</v>
      </c>
      <c r="F123" s="39">
        <v>137211.09</v>
      </c>
      <c r="G123" s="39">
        <v>0.0</v>
      </c>
      <c r="H123" s="39">
        <v>1563576.14</v>
      </c>
      <c r="I123" s="40">
        <f t="shared" si="2"/>
        <v>1700787.23</v>
      </c>
      <c r="J123" s="39">
        <v>0.0</v>
      </c>
      <c r="K123" s="39">
        <v>440575.92</v>
      </c>
      <c r="L123" s="39">
        <v>1674239.52</v>
      </c>
      <c r="M123" s="40">
        <f t="shared" si="3"/>
        <v>2114815.44</v>
      </c>
      <c r="N123" s="39">
        <v>0.0</v>
      </c>
      <c r="O123" s="39">
        <v>0.0</v>
      </c>
      <c r="P123" s="39">
        <v>1921686.6</v>
      </c>
      <c r="Q123" s="40">
        <f t="shared" si="4"/>
        <v>1921686.6</v>
      </c>
    </row>
    <row r="124" ht="15.75" customHeight="1">
      <c r="A124" s="38">
        <v>120.0</v>
      </c>
      <c r="B124" s="41">
        <v>0.0</v>
      </c>
      <c r="C124" s="41">
        <v>0.0</v>
      </c>
      <c r="D124" s="41">
        <v>0.0</v>
      </c>
      <c r="E124" s="40">
        <f t="shared" si="1"/>
        <v>0</v>
      </c>
      <c r="F124" s="41">
        <v>641042.83</v>
      </c>
      <c r="G124" s="41">
        <v>324785.99</v>
      </c>
      <c r="H124" s="41">
        <v>3723410.78</v>
      </c>
      <c r="I124" s="40">
        <f t="shared" si="2"/>
        <v>4689239.6</v>
      </c>
      <c r="J124" s="41">
        <v>531676.97</v>
      </c>
      <c r="K124" s="41">
        <v>0.0</v>
      </c>
      <c r="L124" s="41">
        <v>8873394.63</v>
      </c>
      <c r="M124" s="40">
        <f t="shared" si="3"/>
        <v>9405071.6</v>
      </c>
      <c r="N124" s="41">
        <v>0.0</v>
      </c>
      <c r="O124" s="41">
        <v>652000.34</v>
      </c>
      <c r="P124" s="41">
        <v>844533.02</v>
      </c>
      <c r="Q124" s="40">
        <f t="shared" si="4"/>
        <v>1496533.36</v>
      </c>
    </row>
    <row r="125" ht="15.75" customHeight="1">
      <c r="A125" s="38">
        <v>121.0</v>
      </c>
      <c r="B125" s="39">
        <v>7017755.96</v>
      </c>
      <c r="C125" s="39">
        <v>756540.77</v>
      </c>
      <c r="D125" s="39">
        <v>0.0</v>
      </c>
      <c r="E125" s="40">
        <f t="shared" si="1"/>
        <v>7774296.73</v>
      </c>
      <c r="F125" s="39">
        <v>0.0</v>
      </c>
      <c r="G125" s="39">
        <v>201453.82</v>
      </c>
      <c r="H125" s="39">
        <v>0.0</v>
      </c>
      <c r="I125" s="40">
        <f t="shared" si="2"/>
        <v>201453.82</v>
      </c>
      <c r="J125" s="39">
        <v>0.0</v>
      </c>
      <c r="K125" s="39">
        <v>288029.42</v>
      </c>
      <c r="L125" s="39">
        <v>0.0</v>
      </c>
      <c r="M125" s="40">
        <f t="shared" si="3"/>
        <v>288029.42</v>
      </c>
      <c r="N125" s="39">
        <v>3818096.46</v>
      </c>
      <c r="O125" s="39">
        <v>0.0</v>
      </c>
      <c r="P125" s="39">
        <v>0.0</v>
      </c>
      <c r="Q125" s="40">
        <f t="shared" si="4"/>
        <v>3818096.46</v>
      </c>
    </row>
    <row r="126" ht="15.75" customHeight="1">
      <c r="A126" s="38">
        <v>122.0</v>
      </c>
      <c r="B126" s="41">
        <v>0.0</v>
      </c>
      <c r="C126" s="41">
        <v>0.0</v>
      </c>
      <c r="D126" s="41">
        <v>0.0</v>
      </c>
      <c r="E126" s="40">
        <f t="shared" si="1"/>
        <v>0</v>
      </c>
      <c r="F126" s="41">
        <v>0.0</v>
      </c>
      <c r="G126" s="41">
        <v>0.0</v>
      </c>
      <c r="H126" s="41">
        <v>0.0</v>
      </c>
      <c r="I126" s="40">
        <f t="shared" si="2"/>
        <v>0</v>
      </c>
      <c r="J126" s="41">
        <v>0.0</v>
      </c>
      <c r="K126" s="41">
        <v>0.0</v>
      </c>
      <c r="L126" s="41">
        <v>0.0</v>
      </c>
      <c r="M126" s="40">
        <f t="shared" si="3"/>
        <v>0</v>
      </c>
      <c r="N126" s="41">
        <v>0.0</v>
      </c>
      <c r="O126" s="41">
        <v>0.0</v>
      </c>
      <c r="P126" s="41">
        <v>0.0</v>
      </c>
      <c r="Q126" s="40">
        <f t="shared" si="4"/>
        <v>0</v>
      </c>
    </row>
    <row r="127" ht="15.75" customHeight="1">
      <c r="A127" s="38">
        <v>123.0</v>
      </c>
      <c r="B127" s="39">
        <v>0.0</v>
      </c>
      <c r="C127" s="39">
        <v>0.0</v>
      </c>
      <c r="D127" s="39">
        <v>0.0</v>
      </c>
      <c r="E127" s="40">
        <f t="shared" si="1"/>
        <v>0</v>
      </c>
      <c r="F127" s="39">
        <v>0.0</v>
      </c>
      <c r="G127" s="39">
        <v>0.0</v>
      </c>
      <c r="H127" s="39">
        <v>0.0</v>
      </c>
      <c r="I127" s="40">
        <f t="shared" si="2"/>
        <v>0</v>
      </c>
      <c r="J127" s="39">
        <v>0.0</v>
      </c>
      <c r="K127" s="39">
        <v>0.0</v>
      </c>
      <c r="L127" s="39">
        <v>0.0</v>
      </c>
      <c r="M127" s="40">
        <f t="shared" si="3"/>
        <v>0</v>
      </c>
      <c r="N127" s="39">
        <v>0.0</v>
      </c>
      <c r="O127" s="39">
        <v>1139461.97</v>
      </c>
      <c r="P127" s="39">
        <v>0.0</v>
      </c>
      <c r="Q127" s="40">
        <f t="shared" si="4"/>
        <v>1139461.97</v>
      </c>
    </row>
    <row r="128" ht="15.75" customHeight="1">
      <c r="A128" s="38">
        <v>124.0</v>
      </c>
      <c r="B128" s="41">
        <v>0.0</v>
      </c>
      <c r="C128" s="41">
        <v>195143.03</v>
      </c>
      <c r="D128" s="41">
        <v>0.0</v>
      </c>
      <c r="E128" s="40">
        <f t="shared" si="1"/>
        <v>195143.03</v>
      </c>
      <c r="F128" s="41">
        <v>0.0</v>
      </c>
      <c r="G128" s="41">
        <v>0.0</v>
      </c>
      <c r="H128" s="41">
        <v>0.0</v>
      </c>
      <c r="I128" s="40">
        <f t="shared" si="2"/>
        <v>0</v>
      </c>
      <c r="J128" s="41">
        <v>0.0</v>
      </c>
      <c r="K128" s="41">
        <v>0.0</v>
      </c>
      <c r="L128" s="41">
        <v>0.0</v>
      </c>
      <c r="M128" s="40">
        <f t="shared" si="3"/>
        <v>0</v>
      </c>
      <c r="N128" s="41">
        <v>0.0</v>
      </c>
      <c r="O128" s="41">
        <v>180029.88</v>
      </c>
      <c r="P128" s="41">
        <v>0.0</v>
      </c>
      <c r="Q128" s="40">
        <f t="shared" si="4"/>
        <v>180029.88</v>
      </c>
    </row>
    <row r="129" ht="15.75" customHeight="1">
      <c r="A129" s="38">
        <v>125.0</v>
      </c>
      <c r="B129" s="39">
        <v>5663627.62</v>
      </c>
      <c r="C129" s="39">
        <v>0.0</v>
      </c>
      <c r="D129" s="39">
        <v>0.0</v>
      </c>
      <c r="E129" s="40">
        <f t="shared" si="1"/>
        <v>5663627.62</v>
      </c>
      <c r="F129" s="39">
        <v>715539.97</v>
      </c>
      <c r="G129" s="39">
        <v>581678.91</v>
      </c>
      <c r="H129" s="39">
        <v>0.0</v>
      </c>
      <c r="I129" s="40">
        <f t="shared" si="2"/>
        <v>1297218.88</v>
      </c>
      <c r="J129" s="39">
        <v>2023071.14</v>
      </c>
      <c r="K129" s="39">
        <v>825868.37</v>
      </c>
      <c r="L129" s="39">
        <v>2287986.61</v>
      </c>
      <c r="M129" s="40">
        <f t="shared" si="3"/>
        <v>5136926.12</v>
      </c>
      <c r="N129" s="39">
        <v>1483466.31</v>
      </c>
      <c r="O129" s="39">
        <v>61272.13</v>
      </c>
      <c r="P129" s="39">
        <v>0.0</v>
      </c>
      <c r="Q129" s="40">
        <f t="shared" si="4"/>
        <v>1544738.44</v>
      </c>
    </row>
    <row r="130" ht="15.75" customHeight="1">
      <c r="A130" s="38">
        <v>126.0</v>
      </c>
      <c r="B130" s="41">
        <v>0.0</v>
      </c>
      <c r="C130" s="41">
        <v>631995.33</v>
      </c>
      <c r="D130" s="41">
        <v>0.0</v>
      </c>
      <c r="E130" s="40">
        <f t="shared" si="1"/>
        <v>631995.33</v>
      </c>
      <c r="F130" s="41">
        <v>0.0</v>
      </c>
      <c r="G130" s="41">
        <v>0.0</v>
      </c>
      <c r="H130" s="41">
        <v>0.0</v>
      </c>
      <c r="I130" s="40">
        <f t="shared" si="2"/>
        <v>0</v>
      </c>
      <c r="J130" s="41">
        <v>136975.76</v>
      </c>
      <c r="K130" s="41">
        <v>0.0</v>
      </c>
      <c r="L130" s="41">
        <v>0.0</v>
      </c>
      <c r="M130" s="40">
        <f t="shared" si="3"/>
        <v>136975.76</v>
      </c>
      <c r="N130" s="41">
        <v>0.0</v>
      </c>
      <c r="O130" s="41">
        <v>317377.66</v>
      </c>
      <c r="P130" s="41">
        <v>0.0</v>
      </c>
      <c r="Q130" s="40">
        <f t="shared" si="4"/>
        <v>317377.66</v>
      </c>
    </row>
    <row r="131" ht="15.75" customHeight="1">
      <c r="A131" s="38">
        <v>127.0</v>
      </c>
      <c r="B131" s="39">
        <v>172667.55</v>
      </c>
      <c r="C131" s="39">
        <v>292707.5</v>
      </c>
      <c r="D131" s="39">
        <v>0.0</v>
      </c>
      <c r="E131" s="40">
        <f t="shared" si="1"/>
        <v>465375.05</v>
      </c>
      <c r="F131" s="39">
        <v>1348289.42</v>
      </c>
      <c r="G131" s="39">
        <v>91132.72</v>
      </c>
      <c r="H131" s="39">
        <v>0.0</v>
      </c>
      <c r="I131" s="40">
        <f t="shared" si="2"/>
        <v>1439422.14</v>
      </c>
      <c r="J131" s="39">
        <v>1645245.01</v>
      </c>
      <c r="K131" s="39">
        <v>648560.97</v>
      </c>
      <c r="L131" s="39">
        <v>0.0</v>
      </c>
      <c r="M131" s="40">
        <f t="shared" si="3"/>
        <v>2293805.98</v>
      </c>
      <c r="N131" s="39">
        <v>0.0</v>
      </c>
      <c r="O131" s="39">
        <v>566954.54</v>
      </c>
      <c r="P131" s="39">
        <v>0.0</v>
      </c>
      <c r="Q131" s="40">
        <f t="shared" si="4"/>
        <v>566954.54</v>
      </c>
    </row>
    <row r="132" ht="15.75" customHeight="1">
      <c r="A132" s="38">
        <v>128.0</v>
      </c>
      <c r="B132" s="41">
        <v>4531402.95</v>
      </c>
      <c r="C132" s="41">
        <v>223812.33</v>
      </c>
      <c r="D132" s="41">
        <v>1993353.7</v>
      </c>
      <c r="E132" s="40">
        <f t="shared" si="1"/>
        <v>6748568.98</v>
      </c>
      <c r="F132" s="41">
        <v>4171722.05</v>
      </c>
      <c r="G132" s="41">
        <v>0.0</v>
      </c>
      <c r="H132" s="41">
        <v>0.0</v>
      </c>
      <c r="I132" s="40">
        <f t="shared" si="2"/>
        <v>4171722.05</v>
      </c>
      <c r="J132" s="41">
        <v>0.0</v>
      </c>
      <c r="K132" s="41">
        <v>80448.43</v>
      </c>
      <c r="L132" s="41">
        <v>0.0</v>
      </c>
      <c r="M132" s="40">
        <f t="shared" si="3"/>
        <v>80448.43</v>
      </c>
      <c r="N132" s="41">
        <v>0.0</v>
      </c>
      <c r="O132" s="41">
        <v>0.0</v>
      </c>
      <c r="P132" s="41">
        <v>0.0</v>
      </c>
      <c r="Q132" s="40">
        <f t="shared" si="4"/>
        <v>0</v>
      </c>
    </row>
    <row r="133" ht="15.75" customHeight="1">
      <c r="A133" s="38">
        <v>129.0</v>
      </c>
      <c r="B133" s="39">
        <v>0.0</v>
      </c>
      <c r="C133" s="39">
        <v>0.0</v>
      </c>
      <c r="D133" s="39">
        <v>0.0</v>
      </c>
      <c r="E133" s="40">
        <f t="shared" si="1"/>
        <v>0</v>
      </c>
      <c r="F133" s="39">
        <v>0.0</v>
      </c>
      <c r="G133" s="39">
        <v>0.0</v>
      </c>
      <c r="H133" s="39">
        <v>0.0</v>
      </c>
      <c r="I133" s="40">
        <f t="shared" si="2"/>
        <v>0</v>
      </c>
      <c r="J133" s="39">
        <v>0.0</v>
      </c>
      <c r="K133" s="39">
        <v>223059.26</v>
      </c>
      <c r="L133" s="39">
        <v>0.0</v>
      </c>
      <c r="M133" s="40">
        <f t="shared" si="3"/>
        <v>223059.26</v>
      </c>
      <c r="N133" s="39">
        <v>1.178585203E7</v>
      </c>
      <c r="O133" s="39">
        <v>0.0</v>
      </c>
      <c r="P133" s="39">
        <v>0.0</v>
      </c>
      <c r="Q133" s="40">
        <f t="shared" si="4"/>
        <v>11785852.03</v>
      </c>
    </row>
    <row r="134" ht="15.75" customHeight="1">
      <c r="A134" s="38">
        <v>130.0</v>
      </c>
      <c r="B134" s="41">
        <v>4537743.02</v>
      </c>
      <c r="C134" s="41">
        <v>816000.36</v>
      </c>
      <c r="D134" s="41">
        <v>0.0</v>
      </c>
      <c r="E134" s="40">
        <f t="shared" si="1"/>
        <v>5353743.38</v>
      </c>
      <c r="F134" s="41">
        <v>0.0</v>
      </c>
      <c r="G134" s="41">
        <v>0.0</v>
      </c>
      <c r="H134" s="41">
        <v>0.0</v>
      </c>
      <c r="I134" s="40">
        <f t="shared" si="2"/>
        <v>0</v>
      </c>
      <c r="J134" s="41">
        <v>265686.08</v>
      </c>
      <c r="K134" s="41">
        <v>305774.63</v>
      </c>
      <c r="L134" s="41">
        <v>0.0</v>
      </c>
      <c r="M134" s="40">
        <f t="shared" si="3"/>
        <v>571460.71</v>
      </c>
      <c r="N134" s="41">
        <v>0.0</v>
      </c>
      <c r="O134" s="41">
        <v>0.0</v>
      </c>
      <c r="P134" s="41">
        <v>0.0</v>
      </c>
      <c r="Q134" s="40">
        <f t="shared" si="4"/>
        <v>0</v>
      </c>
    </row>
    <row r="135" ht="15.75" customHeight="1">
      <c r="A135" s="38">
        <v>131.0</v>
      </c>
      <c r="B135" s="39">
        <v>960393.53</v>
      </c>
      <c r="C135" s="39">
        <v>599310.02</v>
      </c>
      <c r="D135" s="39">
        <v>0.0</v>
      </c>
      <c r="E135" s="40">
        <f t="shared" si="1"/>
        <v>1559703.55</v>
      </c>
      <c r="F135" s="39">
        <v>0.0</v>
      </c>
      <c r="G135" s="39">
        <v>377885.7</v>
      </c>
      <c r="H135" s="39">
        <v>7418494.46</v>
      </c>
      <c r="I135" s="40">
        <f t="shared" si="2"/>
        <v>7796380.16</v>
      </c>
      <c r="J135" s="39">
        <v>186049.45</v>
      </c>
      <c r="K135" s="39">
        <v>430461.09</v>
      </c>
      <c r="L135" s="39">
        <v>0.0</v>
      </c>
      <c r="M135" s="40">
        <f t="shared" si="3"/>
        <v>616510.54</v>
      </c>
      <c r="N135" s="39">
        <v>0.0</v>
      </c>
      <c r="O135" s="39">
        <v>0.0</v>
      </c>
      <c r="P135" s="39">
        <v>0.0</v>
      </c>
      <c r="Q135" s="40">
        <f t="shared" si="4"/>
        <v>0</v>
      </c>
    </row>
    <row r="136" ht="15.75" customHeight="1">
      <c r="A136" s="38">
        <v>132.0</v>
      </c>
      <c r="B136" s="41">
        <v>354603.74</v>
      </c>
      <c r="C136" s="41">
        <v>363894.14</v>
      </c>
      <c r="D136" s="41">
        <v>0.0</v>
      </c>
      <c r="E136" s="40">
        <f t="shared" si="1"/>
        <v>718497.88</v>
      </c>
      <c r="F136" s="41">
        <v>0.0</v>
      </c>
      <c r="G136" s="41">
        <v>388339.11</v>
      </c>
      <c r="H136" s="41">
        <v>0.0</v>
      </c>
      <c r="I136" s="40">
        <f t="shared" si="2"/>
        <v>388339.11</v>
      </c>
      <c r="J136" s="41">
        <v>279816.46</v>
      </c>
      <c r="K136" s="41">
        <v>0.0</v>
      </c>
      <c r="L136" s="41">
        <v>0.0</v>
      </c>
      <c r="M136" s="40">
        <f t="shared" si="3"/>
        <v>279816.46</v>
      </c>
      <c r="N136" s="41">
        <v>0.0</v>
      </c>
      <c r="O136" s="41">
        <v>0.0</v>
      </c>
      <c r="P136" s="41">
        <v>0.0</v>
      </c>
      <c r="Q136" s="40">
        <f t="shared" si="4"/>
        <v>0</v>
      </c>
    </row>
    <row r="137" ht="15.75" customHeight="1">
      <c r="A137" s="38">
        <v>133.0</v>
      </c>
      <c r="B137" s="39">
        <v>0.0</v>
      </c>
      <c r="C137" s="39">
        <v>333642.14</v>
      </c>
      <c r="D137" s="39">
        <v>0.0</v>
      </c>
      <c r="E137" s="40">
        <f t="shared" si="1"/>
        <v>333642.14</v>
      </c>
      <c r="F137" s="39">
        <v>0.0</v>
      </c>
      <c r="G137" s="39">
        <v>742597.56</v>
      </c>
      <c r="H137" s="39">
        <v>0.0</v>
      </c>
      <c r="I137" s="40">
        <f t="shared" si="2"/>
        <v>742597.56</v>
      </c>
      <c r="J137" s="39">
        <v>0.0</v>
      </c>
      <c r="K137" s="39">
        <v>174307.22</v>
      </c>
      <c r="L137" s="39">
        <v>0.0</v>
      </c>
      <c r="M137" s="40">
        <f t="shared" si="3"/>
        <v>174307.22</v>
      </c>
      <c r="N137" s="39">
        <v>0.0</v>
      </c>
      <c r="O137" s="39">
        <v>0.0</v>
      </c>
      <c r="P137" s="39">
        <v>0.0</v>
      </c>
      <c r="Q137" s="40">
        <f t="shared" si="4"/>
        <v>0</v>
      </c>
    </row>
    <row r="138" ht="15.75" customHeight="1">
      <c r="A138" s="38">
        <v>134.0</v>
      </c>
      <c r="B138" s="41">
        <v>0.0</v>
      </c>
      <c r="C138" s="41">
        <v>216663.31</v>
      </c>
      <c r="D138" s="41">
        <v>2650979.84</v>
      </c>
      <c r="E138" s="40">
        <f t="shared" si="1"/>
        <v>2867643.15</v>
      </c>
      <c r="F138" s="41">
        <v>0.0</v>
      </c>
      <c r="G138" s="41">
        <v>0.0</v>
      </c>
      <c r="H138" s="41">
        <v>0.0</v>
      </c>
      <c r="I138" s="40">
        <f t="shared" si="2"/>
        <v>0</v>
      </c>
      <c r="J138" s="41">
        <v>3130156.61</v>
      </c>
      <c r="K138" s="41">
        <v>303786.35</v>
      </c>
      <c r="L138" s="41">
        <v>0.0</v>
      </c>
      <c r="M138" s="40">
        <f t="shared" si="3"/>
        <v>3433942.96</v>
      </c>
      <c r="N138" s="41">
        <v>0.0</v>
      </c>
      <c r="O138" s="41">
        <v>0.0</v>
      </c>
      <c r="P138" s="41">
        <v>0.0</v>
      </c>
      <c r="Q138" s="40">
        <f t="shared" si="4"/>
        <v>0</v>
      </c>
    </row>
    <row r="139" ht="15.75" customHeight="1">
      <c r="A139" s="38">
        <v>135.0</v>
      </c>
      <c r="B139" s="39">
        <v>3043813.62</v>
      </c>
      <c r="C139" s="39">
        <v>908749.28</v>
      </c>
      <c r="D139" s="39">
        <v>1370456.23</v>
      </c>
      <c r="E139" s="40">
        <f t="shared" si="1"/>
        <v>5323019.13</v>
      </c>
      <c r="F139" s="39">
        <v>687102.11</v>
      </c>
      <c r="G139" s="39">
        <v>0.0</v>
      </c>
      <c r="H139" s="39">
        <v>0.0</v>
      </c>
      <c r="I139" s="40">
        <f t="shared" si="2"/>
        <v>687102.11</v>
      </c>
      <c r="J139" s="39">
        <v>0.0</v>
      </c>
      <c r="K139" s="39">
        <v>17140.28</v>
      </c>
      <c r="L139" s="39">
        <v>0.0</v>
      </c>
      <c r="M139" s="40">
        <f t="shared" si="3"/>
        <v>17140.28</v>
      </c>
      <c r="N139" s="39">
        <v>652393.74</v>
      </c>
      <c r="O139" s="39">
        <v>0.0</v>
      </c>
      <c r="P139" s="39">
        <v>7006068.32</v>
      </c>
      <c r="Q139" s="40">
        <f t="shared" si="4"/>
        <v>7658462.06</v>
      </c>
    </row>
    <row r="140" ht="15.75" customHeight="1">
      <c r="A140" s="38">
        <v>136.0</v>
      </c>
      <c r="B140" s="41">
        <v>2258746.46</v>
      </c>
      <c r="C140" s="41">
        <v>0.0</v>
      </c>
      <c r="D140" s="41">
        <v>0.0</v>
      </c>
      <c r="E140" s="40">
        <f t="shared" si="1"/>
        <v>2258746.46</v>
      </c>
      <c r="F140" s="41">
        <v>465456.95</v>
      </c>
      <c r="G140" s="41">
        <v>0.0</v>
      </c>
      <c r="H140" s="41">
        <v>0.0</v>
      </c>
      <c r="I140" s="40">
        <f t="shared" si="2"/>
        <v>465456.95</v>
      </c>
      <c r="J140" s="41">
        <v>435411.97</v>
      </c>
      <c r="K140" s="41">
        <v>0.0</v>
      </c>
      <c r="L140" s="41">
        <v>0.0</v>
      </c>
      <c r="M140" s="40">
        <f t="shared" si="3"/>
        <v>435411.97</v>
      </c>
      <c r="N140" s="41">
        <v>0.0</v>
      </c>
      <c r="O140" s="41">
        <v>0.0</v>
      </c>
      <c r="P140" s="41">
        <v>0.0</v>
      </c>
      <c r="Q140" s="40">
        <f t="shared" si="4"/>
        <v>0</v>
      </c>
    </row>
    <row r="141" ht="15.75" customHeight="1">
      <c r="A141" s="38">
        <v>137.0</v>
      </c>
      <c r="B141" s="39">
        <v>0.0</v>
      </c>
      <c r="C141" s="39">
        <v>1782647.99</v>
      </c>
      <c r="D141" s="39">
        <v>1946616.08</v>
      </c>
      <c r="E141" s="40">
        <f t="shared" si="1"/>
        <v>3729264.07</v>
      </c>
      <c r="F141" s="39">
        <v>954031.87</v>
      </c>
      <c r="G141" s="39">
        <v>0.0</v>
      </c>
      <c r="H141" s="39">
        <v>0.0</v>
      </c>
      <c r="I141" s="40">
        <f t="shared" si="2"/>
        <v>954031.87</v>
      </c>
      <c r="J141" s="39">
        <v>1957111.86</v>
      </c>
      <c r="K141" s="39">
        <v>336545.83</v>
      </c>
      <c r="L141" s="39">
        <v>0.0</v>
      </c>
      <c r="M141" s="40">
        <f t="shared" si="3"/>
        <v>2293657.69</v>
      </c>
      <c r="N141" s="39">
        <v>1102051.0</v>
      </c>
      <c r="O141" s="39">
        <v>615644.19</v>
      </c>
      <c r="P141" s="39">
        <v>0.0</v>
      </c>
      <c r="Q141" s="40">
        <f t="shared" si="4"/>
        <v>1717695.19</v>
      </c>
    </row>
    <row r="142" ht="15.75" customHeight="1">
      <c r="A142" s="38">
        <v>138.0</v>
      </c>
      <c r="B142" s="41">
        <v>0.0</v>
      </c>
      <c r="C142" s="41">
        <v>527468.09</v>
      </c>
      <c r="D142" s="41">
        <v>0.0</v>
      </c>
      <c r="E142" s="40">
        <f t="shared" si="1"/>
        <v>527468.09</v>
      </c>
      <c r="F142" s="41">
        <v>0.0</v>
      </c>
      <c r="G142" s="41">
        <v>0.0</v>
      </c>
      <c r="H142" s="41">
        <v>0.0</v>
      </c>
      <c r="I142" s="40">
        <f t="shared" si="2"/>
        <v>0</v>
      </c>
      <c r="J142" s="41">
        <v>2832576.58</v>
      </c>
      <c r="K142" s="41">
        <v>0.0</v>
      </c>
      <c r="L142" s="41">
        <v>0.0</v>
      </c>
      <c r="M142" s="40">
        <f t="shared" si="3"/>
        <v>2832576.58</v>
      </c>
      <c r="N142" s="41">
        <v>0.0</v>
      </c>
      <c r="O142" s="41">
        <v>733586.02</v>
      </c>
      <c r="P142" s="41">
        <v>0.0</v>
      </c>
      <c r="Q142" s="40">
        <f t="shared" si="4"/>
        <v>733586.02</v>
      </c>
    </row>
    <row r="143" ht="15.75" customHeight="1">
      <c r="A143" s="38">
        <v>139.0</v>
      </c>
      <c r="B143" s="39">
        <v>0.0</v>
      </c>
      <c r="C143" s="39">
        <v>311825.37</v>
      </c>
      <c r="D143" s="39">
        <v>0.0</v>
      </c>
      <c r="E143" s="40">
        <f t="shared" si="1"/>
        <v>311825.37</v>
      </c>
      <c r="F143" s="39">
        <v>0.0</v>
      </c>
      <c r="G143" s="39">
        <v>496122.84</v>
      </c>
      <c r="H143" s="39">
        <v>0.0</v>
      </c>
      <c r="I143" s="40">
        <f t="shared" si="2"/>
        <v>496122.84</v>
      </c>
      <c r="J143" s="39">
        <v>0.0</v>
      </c>
      <c r="K143" s="39">
        <v>0.0</v>
      </c>
      <c r="L143" s="39">
        <v>0.0</v>
      </c>
      <c r="M143" s="40">
        <f t="shared" si="3"/>
        <v>0</v>
      </c>
      <c r="N143" s="39">
        <v>0.0</v>
      </c>
      <c r="O143" s="39">
        <v>75028.45</v>
      </c>
      <c r="P143" s="39">
        <v>0.0</v>
      </c>
      <c r="Q143" s="40">
        <f t="shared" si="4"/>
        <v>75028.45</v>
      </c>
    </row>
    <row r="144" ht="15.75" customHeight="1">
      <c r="A144" s="38">
        <v>140.0</v>
      </c>
      <c r="B144" s="41">
        <v>688039.4</v>
      </c>
      <c r="C144" s="41">
        <v>1518557.12</v>
      </c>
      <c r="D144" s="41">
        <v>0.0</v>
      </c>
      <c r="E144" s="40">
        <f t="shared" si="1"/>
        <v>2206596.52</v>
      </c>
      <c r="F144" s="41">
        <v>0.0</v>
      </c>
      <c r="G144" s="41">
        <v>0.0</v>
      </c>
      <c r="H144" s="41">
        <v>0.0</v>
      </c>
      <c r="I144" s="40">
        <f t="shared" si="2"/>
        <v>0</v>
      </c>
      <c r="J144" s="41">
        <v>0.0</v>
      </c>
      <c r="K144" s="41">
        <v>476970.14</v>
      </c>
      <c r="L144" s="41">
        <v>0.0</v>
      </c>
      <c r="M144" s="40">
        <f t="shared" si="3"/>
        <v>476970.14</v>
      </c>
      <c r="N144" s="41">
        <v>750171.67</v>
      </c>
      <c r="O144" s="41">
        <v>0.0</v>
      </c>
      <c r="P144" s="41">
        <v>1.498929246E7</v>
      </c>
      <c r="Q144" s="40">
        <f t="shared" si="4"/>
        <v>15739464.13</v>
      </c>
    </row>
    <row r="145" ht="15.75" customHeight="1">
      <c r="A145" s="38">
        <v>141.0</v>
      </c>
      <c r="B145" s="39">
        <v>0.0</v>
      </c>
      <c r="C145" s="39">
        <v>857785.37</v>
      </c>
      <c r="D145" s="39">
        <v>0.0</v>
      </c>
      <c r="E145" s="40">
        <f t="shared" si="1"/>
        <v>857785.37</v>
      </c>
      <c r="F145" s="39">
        <v>0.0</v>
      </c>
      <c r="G145" s="39">
        <v>0.0</v>
      </c>
      <c r="H145" s="39">
        <v>0.0</v>
      </c>
      <c r="I145" s="40">
        <f t="shared" si="2"/>
        <v>0</v>
      </c>
      <c r="J145" s="39">
        <v>0.0</v>
      </c>
      <c r="K145" s="39">
        <v>256340.81</v>
      </c>
      <c r="L145" s="39">
        <v>6039967.99</v>
      </c>
      <c r="M145" s="40">
        <f t="shared" si="3"/>
        <v>6296308.8</v>
      </c>
      <c r="N145" s="39">
        <v>930484.27</v>
      </c>
      <c r="O145" s="39">
        <v>266584.29</v>
      </c>
      <c r="P145" s="39">
        <v>0.0</v>
      </c>
      <c r="Q145" s="40">
        <f t="shared" si="4"/>
        <v>1197068.56</v>
      </c>
    </row>
    <row r="146" ht="15.75" customHeight="1">
      <c r="A146" s="38">
        <v>142.0</v>
      </c>
      <c r="B146" s="41">
        <v>0.0</v>
      </c>
      <c r="C146" s="41">
        <v>0.0</v>
      </c>
      <c r="D146" s="41">
        <v>0.0</v>
      </c>
      <c r="E146" s="40">
        <f t="shared" si="1"/>
        <v>0</v>
      </c>
      <c r="F146" s="41">
        <v>0.0</v>
      </c>
      <c r="G146" s="41">
        <v>1422462.63</v>
      </c>
      <c r="H146" s="41">
        <v>0.0</v>
      </c>
      <c r="I146" s="40">
        <f t="shared" si="2"/>
        <v>1422462.63</v>
      </c>
      <c r="J146" s="41">
        <v>711935.86</v>
      </c>
      <c r="K146" s="41">
        <v>942488.31</v>
      </c>
      <c r="L146" s="41">
        <v>0.0</v>
      </c>
      <c r="M146" s="40">
        <f t="shared" si="3"/>
        <v>1654424.17</v>
      </c>
      <c r="N146" s="41">
        <v>0.0</v>
      </c>
      <c r="O146" s="41">
        <v>0.0</v>
      </c>
      <c r="P146" s="41">
        <v>0.0</v>
      </c>
      <c r="Q146" s="40">
        <f t="shared" si="4"/>
        <v>0</v>
      </c>
    </row>
    <row r="147" ht="15.75" customHeight="1">
      <c r="A147" s="38">
        <v>143.0</v>
      </c>
      <c r="B147" s="39">
        <v>1.985312491E7</v>
      </c>
      <c r="C147" s="39">
        <v>333400.64</v>
      </c>
      <c r="D147" s="39">
        <v>0.0</v>
      </c>
      <c r="E147" s="40">
        <f t="shared" si="1"/>
        <v>20186525.55</v>
      </c>
      <c r="F147" s="39">
        <v>0.0</v>
      </c>
      <c r="G147" s="39">
        <v>0.0</v>
      </c>
      <c r="H147" s="39">
        <v>0.0</v>
      </c>
      <c r="I147" s="40">
        <f t="shared" si="2"/>
        <v>0</v>
      </c>
      <c r="J147" s="39">
        <v>0.0</v>
      </c>
      <c r="K147" s="39">
        <v>134143.07</v>
      </c>
      <c r="L147" s="39">
        <v>0.0</v>
      </c>
      <c r="M147" s="40">
        <f t="shared" si="3"/>
        <v>134143.07</v>
      </c>
      <c r="N147" s="39">
        <v>0.0</v>
      </c>
      <c r="O147" s="39">
        <v>37609.98</v>
      </c>
      <c r="P147" s="39">
        <v>0.0</v>
      </c>
      <c r="Q147" s="40">
        <f t="shared" si="4"/>
        <v>37609.98</v>
      </c>
    </row>
    <row r="148" ht="15.75" customHeight="1">
      <c r="A148" s="38">
        <v>144.0</v>
      </c>
      <c r="B148" s="41">
        <v>9377945.22</v>
      </c>
      <c r="C148" s="41">
        <v>197191.29</v>
      </c>
      <c r="D148" s="41">
        <v>0.0</v>
      </c>
      <c r="E148" s="40">
        <f t="shared" si="1"/>
        <v>9575136.51</v>
      </c>
      <c r="F148" s="41">
        <v>0.0</v>
      </c>
      <c r="G148" s="41">
        <v>0.0</v>
      </c>
      <c r="H148" s="41">
        <v>1.003567271E7</v>
      </c>
      <c r="I148" s="40">
        <f t="shared" si="2"/>
        <v>10035672.71</v>
      </c>
      <c r="J148" s="41">
        <v>1090218.49</v>
      </c>
      <c r="K148" s="41">
        <v>435809.22</v>
      </c>
      <c r="L148" s="41">
        <v>0.0</v>
      </c>
      <c r="M148" s="40">
        <f t="shared" si="3"/>
        <v>1526027.71</v>
      </c>
      <c r="N148" s="41">
        <v>128257.88</v>
      </c>
      <c r="O148" s="41">
        <v>0.0</v>
      </c>
      <c r="P148" s="41">
        <v>0.0</v>
      </c>
      <c r="Q148" s="40">
        <f t="shared" si="4"/>
        <v>128257.88</v>
      </c>
    </row>
    <row r="149" ht="15.75" customHeight="1">
      <c r="A149" s="38">
        <v>145.0</v>
      </c>
      <c r="B149" s="39">
        <v>810932.43</v>
      </c>
      <c r="C149" s="39">
        <v>0.0</v>
      </c>
      <c r="D149" s="39">
        <v>0.0</v>
      </c>
      <c r="E149" s="40">
        <f t="shared" si="1"/>
        <v>810932.43</v>
      </c>
      <c r="F149" s="39">
        <v>0.0</v>
      </c>
      <c r="G149" s="39">
        <v>865964.95</v>
      </c>
      <c r="H149" s="39">
        <v>0.0</v>
      </c>
      <c r="I149" s="40">
        <f t="shared" si="2"/>
        <v>865964.95</v>
      </c>
      <c r="J149" s="39">
        <v>1.722863755E7</v>
      </c>
      <c r="K149" s="39">
        <v>650640.3</v>
      </c>
      <c r="L149" s="39">
        <v>0.0</v>
      </c>
      <c r="M149" s="40">
        <f t="shared" si="3"/>
        <v>17879277.85</v>
      </c>
      <c r="N149" s="39">
        <v>0.0</v>
      </c>
      <c r="O149" s="39">
        <v>0.0</v>
      </c>
      <c r="P149" s="39">
        <v>0.0</v>
      </c>
      <c r="Q149" s="40">
        <f t="shared" si="4"/>
        <v>0</v>
      </c>
    </row>
    <row r="150" ht="15.75" customHeight="1">
      <c r="A150" s="38">
        <v>146.0</v>
      </c>
      <c r="B150" s="41">
        <v>672607.17</v>
      </c>
      <c r="C150" s="41">
        <v>0.0</v>
      </c>
      <c r="D150" s="41">
        <v>0.0</v>
      </c>
      <c r="E150" s="40">
        <f t="shared" si="1"/>
        <v>672607.17</v>
      </c>
      <c r="F150" s="41">
        <v>0.0</v>
      </c>
      <c r="G150" s="41">
        <v>165879.1</v>
      </c>
      <c r="H150" s="41">
        <v>0.0</v>
      </c>
      <c r="I150" s="40">
        <f t="shared" si="2"/>
        <v>165879.1</v>
      </c>
      <c r="J150" s="41">
        <v>225431.79</v>
      </c>
      <c r="K150" s="41">
        <v>0.0</v>
      </c>
      <c r="L150" s="41">
        <v>0.0</v>
      </c>
      <c r="M150" s="40">
        <f t="shared" si="3"/>
        <v>225431.79</v>
      </c>
      <c r="N150" s="41">
        <v>775312.63</v>
      </c>
      <c r="O150" s="41">
        <v>0.0</v>
      </c>
      <c r="P150" s="41">
        <v>0.0</v>
      </c>
      <c r="Q150" s="40">
        <f t="shared" si="4"/>
        <v>775312.63</v>
      </c>
    </row>
    <row r="151" ht="15.75" customHeight="1">
      <c r="A151" s="38">
        <v>147.0</v>
      </c>
      <c r="B151" s="39">
        <v>631243.07</v>
      </c>
      <c r="C151" s="39">
        <v>0.0</v>
      </c>
      <c r="D151" s="39">
        <v>0.0</v>
      </c>
      <c r="E151" s="40">
        <f t="shared" si="1"/>
        <v>631243.07</v>
      </c>
      <c r="F151" s="39">
        <v>998179.29</v>
      </c>
      <c r="G151" s="39">
        <v>0.0</v>
      </c>
      <c r="H151" s="39">
        <v>0.0</v>
      </c>
      <c r="I151" s="40">
        <f t="shared" si="2"/>
        <v>998179.29</v>
      </c>
      <c r="J151" s="39">
        <v>522494.58</v>
      </c>
      <c r="K151" s="39">
        <v>138985.01</v>
      </c>
      <c r="L151" s="39">
        <v>0.0</v>
      </c>
      <c r="M151" s="40">
        <f t="shared" si="3"/>
        <v>661479.59</v>
      </c>
      <c r="N151" s="39">
        <v>989881.81</v>
      </c>
      <c r="O151" s="39">
        <v>108025.49</v>
      </c>
      <c r="P151" s="39">
        <v>0.0</v>
      </c>
      <c r="Q151" s="40">
        <f t="shared" si="4"/>
        <v>1097907.3</v>
      </c>
    </row>
    <row r="152" ht="15.75" customHeight="1">
      <c r="A152" s="38">
        <v>148.0</v>
      </c>
      <c r="B152" s="41">
        <v>0.0</v>
      </c>
      <c r="C152" s="41">
        <v>0.0</v>
      </c>
      <c r="D152" s="41">
        <v>3109526.5</v>
      </c>
      <c r="E152" s="40">
        <f t="shared" si="1"/>
        <v>3109526.5</v>
      </c>
      <c r="F152" s="41">
        <v>7715607.78</v>
      </c>
      <c r="G152" s="41">
        <v>220515.91</v>
      </c>
      <c r="H152" s="41">
        <v>0.0</v>
      </c>
      <c r="I152" s="40">
        <f t="shared" si="2"/>
        <v>7936123.69</v>
      </c>
      <c r="J152" s="41">
        <v>577847.65</v>
      </c>
      <c r="K152" s="41">
        <v>914600.69</v>
      </c>
      <c r="L152" s="41">
        <v>0.0</v>
      </c>
      <c r="M152" s="40">
        <f t="shared" si="3"/>
        <v>1492448.34</v>
      </c>
      <c r="N152" s="41">
        <v>0.0</v>
      </c>
      <c r="O152" s="41">
        <v>0.0</v>
      </c>
      <c r="P152" s="41">
        <v>0.0</v>
      </c>
      <c r="Q152" s="40">
        <f t="shared" si="4"/>
        <v>0</v>
      </c>
    </row>
    <row r="153" ht="15.75" customHeight="1">
      <c r="A153" s="38">
        <v>149.0</v>
      </c>
      <c r="B153" s="39">
        <v>0.0</v>
      </c>
      <c r="C153" s="39">
        <v>0.0</v>
      </c>
      <c r="D153" s="39">
        <v>0.0</v>
      </c>
      <c r="E153" s="40">
        <f t="shared" si="1"/>
        <v>0</v>
      </c>
      <c r="F153" s="39">
        <v>0.0</v>
      </c>
      <c r="G153" s="39">
        <v>0.0</v>
      </c>
      <c r="H153" s="39">
        <v>0.0</v>
      </c>
      <c r="I153" s="40">
        <f t="shared" si="2"/>
        <v>0</v>
      </c>
      <c r="J153" s="39">
        <v>0.0</v>
      </c>
      <c r="K153" s="39">
        <v>0.0</v>
      </c>
      <c r="L153" s="39">
        <v>0.0</v>
      </c>
      <c r="M153" s="40">
        <f t="shared" si="3"/>
        <v>0</v>
      </c>
      <c r="N153" s="39">
        <v>0.0</v>
      </c>
      <c r="O153" s="39">
        <v>232608.16</v>
      </c>
      <c r="P153" s="39">
        <v>0.0</v>
      </c>
      <c r="Q153" s="40">
        <f t="shared" si="4"/>
        <v>232608.16</v>
      </c>
    </row>
    <row r="154" ht="15.75" customHeight="1">
      <c r="A154" s="38">
        <v>150.0</v>
      </c>
      <c r="B154" s="41">
        <v>1259724.96</v>
      </c>
      <c r="C154" s="41">
        <v>200834.58</v>
      </c>
      <c r="D154" s="41">
        <v>0.0</v>
      </c>
      <c r="E154" s="40">
        <f t="shared" si="1"/>
        <v>1460559.54</v>
      </c>
      <c r="F154" s="41">
        <v>0.0</v>
      </c>
      <c r="G154" s="41">
        <v>144862.81</v>
      </c>
      <c r="H154" s="41">
        <v>0.0</v>
      </c>
      <c r="I154" s="40">
        <f t="shared" si="2"/>
        <v>144862.81</v>
      </c>
      <c r="J154" s="41">
        <v>0.0</v>
      </c>
      <c r="K154" s="41">
        <v>245562.22</v>
      </c>
      <c r="L154" s="41">
        <v>3167141.34</v>
      </c>
      <c r="M154" s="40">
        <f t="shared" si="3"/>
        <v>3412703.56</v>
      </c>
      <c r="N154" s="41">
        <v>3030297.19</v>
      </c>
      <c r="O154" s="41">
        <v>167094.32</v>
      </c>
      <c r="P154" s="41">
        <v>0.0</v>
      </c>
      <c r="Q154" s="40">
        <f t="shared" si="4"/>
        <v>3197391.51</v>
      </c>
    </row>
    <row r="155" ht="15.75" customHeight="1">
      <c r="A155" s="38">
        <v>151.0</v>
      </c>
      <c r="B155" s="39">
        <v>2.317165412E7</v>
      </c>
      <c r="C155" s="39">
        <v>379953.98</v>
      </c>
      <c r="D155" s="39">
        <v>0.0</v>
      </c>
      <c r="E155" s="40">
        <f t="shared" si="1"/>
        <v>23551608.1</v>
      </c>
      <c r="F155" s="39">
        <v>0.0</v>
      </c>
      <c r="G155" s="39">
        <v>0.0</v>
      </c>
      <c r="H155" s="39">
        <v>0.0</v>
      </c>
      <c r="I155" s="40">
        <f t="shared" si="2"/>
        <v>0</v>
      </c>
      <c r="J155" s="39">
        <v>0.0</v>
      </c>
      <c r="K155" s="39">
        <v>0.0</v>
      </c>
      <c r="L155" s="39">
        <v>0.0</v>
      </c>
      <c r="M155" s="40">
        <f t="shared" si="3"/>
        <v>0</v>
      </c>
      <c r="N155" s="39">
        <v>0.0</v>
      </c>
      <c r="O155" s="39">
        <v>428108.72</v>
      </c>
      <c r="P155" s="39">
        <v>0.0</v>
      </c>
      <c r="Q155" s="40">
        <f t="shared" si="4"/>
        <v>428108.72</v>
      </c>
    </row>
    <row r="156" ht="15.75" customHeight="1">
      <c r="A156" s="38">
        <v>152.0</v>
      </c>
      <c r="B156" s="41">
        <v>0.0</v>
      </c>
      <c r="C156" s="41">
        <v>0.0</v>
      </c>
      <c r="D156" s="41">
        <v>1.900876634E7</v>
      </c>
      <c r="E156" s="40">
        <f t="shared" si="1"/>
        <v>19008766.34</v>
      </c>
      <c r="F156" s="41">
        <v>2861066.83</v>
      </c>
      <c r="G156" s="41">
        <v>0.0</v>
      </c>
      <c r="H156" s="41">
        <v>0.0</v>
      </c>
      <c r="I156" s="40">
        <f t="shared" si="2"/>
        <v>2861066.83</v>
      </c>
      <c r="J156" s="41">
        <v>8857544.93</v>
      </c>
      <c r="K156" s="41">
        <v>0.0</v>
      </c>
      <c r="L156" s="41">
        <v>0.0</v>
      </c>
      <c r="M156" s="40">
        <f t="shared" si="3"/>
        <v>8857544.93</v>
      </c>
      <c r="N156" s="41">
        <v>0.0</v>
      </c>
      <c r="O156" s="41">
        <v>0.0</v>
      </c>
      <c r="P156" s="41">
        <v>383380.88</v>
      </c>
      <c r="Q156" s="40">
        <f t="shared" si="4"/>
        <v>383380.88</v>
      </c>
    </row>
    <row r="157" ht="15.75" customHeight="1">
      <c r="A157" s="38">
        <v>153.0</v>
      </c>
      <c r="B157" s="39">
        <v>3877901.05</v>
      </c>
      <c r="C157" s="39">
        <v>2129819.42</v>
      </c>
      <c r="D157" s="39">
        <v>8914685.91</v>
      </c>
      <c r="E157" s="40">
        <f t="shared" si="1"/>
        <v>14922406.38</v>
      </c>
      <c r="F157" s="39">
        <v>0.0</v>
      </c>
      <c r="G157" s="39">
        <v>0.0</v>
      </c>
      <c r="H157" s="39">
        <v>0.0</v>
      </c>
      <c r="I157" s="40">
        <f t="shared" si="2"/>
        <v>0</v>
      </c>
      <c r="J157" s="39">
        <v>0.0</v>
      </c>
      <c r="K157" s="39">
        <v>77573.3</v>
      </c>
      <c r="L157" s="39">
        <v>6742713.37</v>
      </c>
      <c r="M157" s="40">
        <f t="shared" si="3"/>
        <v>6820286.67</v>
      </c>
      <c r="N157" s="39">
        <v>0.0</v>
      </c>
      <c r="O157" s="39">
        <v>0.0</v>
      </c>
      <c r="P157" s="39">
        <v>0.0</v>
      </c>
      <c r="Q157" s="40">
        <f t="shared" si="4"/>
        <v>0</v>
      </c>
    </row>
    <row r="158" ht="15.75" customHeight="1">
      <c r="A158" s="38">
        <v>154.0</v>
      </c>
      <c r="B158" s="41">
        <v>3731417.8</v>
      </c>
      <c r="C158" s="41">
        <v>0.0</v>
      </c>
      <c r="D158" s="41">
        <v>0.0</v>
      </c>
      <c r="E158" s="40">
        <f t="shared" si="1"/>
        <v>3731417.8</v>
      </c>
      <c r="F158" s="41">
        <v>0.0</v>
      </c>
      <c r="G158" s="41">
        <v>0.0</v>
      </c>
      <c r="H158" s="41">
        <v>0.0</v>
      </c>
      <c r="I158" s="40">
        <f t="shared" si="2"/>
        <v>0</v>
      </c>
      <c r="J158" s="41">
        <v>1981354.94</v>
      </c>
      <c r="K158" s="41">
        <v>0.0</v>
      </c>
      <c r="L158" s="41">
        <v>0.0</v>
      </c>
      <c r="M158" s="40">
        <f t="shared" si="3"/>
        <v>1981354.94</v>
      </c>
      <c r="N158" s="41">
        <v>709787.95</v>
      </c>
      <c r="O158" s="41">
        <v>86871.16</v>
      </c>
      <c r="P158" s="41">
        <v>0.0</v>
      </c>
      <c r="Q158" s="40">
        <f t="shared" si="4"/>
        <v>796659.11</v>
      </c>
    </row>
    <row r="159" ht="15.75" customHeight="1">
      <c r="A159" s="38">
        <v>155.0</v>
      </c>
      <c r="B159" s="39">
        <v>0.0</v>
      </c>
      <c r="C159" s="39">
        <v>0.0</v>
      </c>
      <c r="D159" s="39">
        <v>830262.14</v>
      </c>
      <c r="E159" s="40">
        <f t="shared" si="1"/>
        <v>830262.14</v>
      </c>
      <c r="F159" s="39">
        <v>0.0</v>
      </c>
      <c r="G159" s="39">
        <v>0.0</v>
      </c>
      <c r="H159" s="39">
        <v>0.0</v>
      </c>
      <c r="I159" s="40">
        <f t="shared" si="2"/>
        <v>0</v>
      </c>
      <c r="J159" s="39">
        <v>3137317.53</v>
      </c>
      <c r="K159" s="39">
        <v>308645.57</v>
      </c>
      <c r="L159" s="39">
        <v>0.0</v>
      </c>
      <c r="M159" s="40">
        <f t="shared" si="3"/>
        <v>3445963.1</v>
      </c>
      <c r="N159" s="39">
        <v>0.0</v>
      </c>
      <c r="O159" s="39">
        <v>0.0</v>
      </c>
      <c r="P159" s="39">
        <v>0.0</v>
      </c>
      <c r="Q159" s="40">
        <f t="shared" si="4"/>
        <v>0</v>
      </c>
    </row>
    <row r="160" ht="15.75" customHeight="1">
      <c r="A160" s="38">
        <v>156.0</v>
      </c>
      <c r="B160" s="41">
        <v>0.0</v>
      </c>
      <c r="C160" s="41">
        <v>0.0</v>
      </c>
      <c r="D160" s="41">
        <v>0.0</v>
      </c>
      <c r="E160" s="40">
        <f t="shared" si="1"/>
        <v>0</v>
      </c>
      <c r="F160" s="41">
        <v>0.0</v>
      </c>
      <c r="G160" s="41">
        <v>0.0</v>
      </c>
      <c r="H160" s="41">
        <v>0.0</v>
      </c>
      <c r="I160" s="40">
        <f t="shared" si="2"/>
        <v>0</v>
      </c>
      <c r="J160" s="41">
        <v>618451.67</v>
      </c>
      <c r="K160" s="41">
        <v>2003706.69</v>
      </c>
      <c r="L160" s="41">
        <v>0.0</v>
      </c>
      <c r="M160" s="40">
        <f t="shared" si="3"/>
        <v>2622158.36</v>
      </c>
      <c r="N160" s="41">
        <v>0.0</v>
      </c>
      <c r="O160" s="41">
        <v>0.0</v>
      </c>
      <c r="P160" s="41">
        <v>0.0</v>
      </c>
      <c r="Q160" s="40">
        <f t="shared" si="4"/>
        <v>0</v>
      </c>
    </row>
    <row r="161" ht="15.75" customHeight="1">
      <c r="A161" s="38">
        <v>157.0</v>
      </c>
      <c r="B161" s="39">
        <v>2261107.99</v>
      </c>
      <c r="C161" s="39">
        <v>156659.01</v>
      </c>
      <c r="D161" s="39">
        <v>1998094.54</v>
      </c>
      <c r="E161" s="40">
        <f t="shared" si="1"/>
        <v>4415861.54</v>
      </c>
      <c r="F161" s="39">
        <v>1121936.27</v>
      </c>
      <c r="G161" s="39">
        <v>197564.54</v>
      </c>
      <c r="H161" s="39">
        <v>3924455.17</v>
      </c>
      <c r="I161" s="40">
        <f t="shared" si="2"/>
        <v>5243955.98</v>
      </c>
      <c r="J161" s="39">
        <v>0.0</v>
      </c>
      <c r="K161" s="39">
        <v>0.0</v>
      </c>
      <c r="L161" s="39">
        <v>1838363.42</v>
      </c>
      <c r="M161" s="40">
        <f t="shared" si="3"/>
        <v>1838363.42</v>
      </c>
      <c r="N161" s="39">
        <v>0.0</v>
      </c>
      <c r="O161" s="39">
        <v>0.0</v>
      </c>
      <c r="P161" s="39">
        <v>0.0</v>
      </c>
      <c r="Q161" s="40">
        <f t="shared" si="4"/>
        <v>0</v>
      </c>
    </row>
    <row r="162" ht="15.75" customHeight="1">
      <c r="A162" s="38">
        <v>158.0</v>
      </c>
      <c r="B162" s="41">
        <v>0.0</v>
      </c>
      <c r="C162" s="41">
        <v>0.0</v>
      </c>
      <c r="D162" s="41">
        <v>6047134.2</v>
      </c>
      <c r="E162" s="40">
        <f t="shared" si="1"/>
        <v>6047134.2</v>
      </c>
      <c r="F162" s="41">
        <v>0.0</v>
      </c>
      <c r="G162" s="41">
        <v>347780.21</v>
      </c>
      <c r="H162" s="41">
        <v>0.0</v>
      </c>
      <c r="I162" s="40">
        <f t="shared" si="2"/>
        <v>347780.21</v>
      </c>
      <c r="J162" s="41">
        <v>1064682.11</v>
      </c>
      <c r="K162" s="41">
        <v>0.0</v>
      </c>
      <c r="L162" s="41">
        <v>0.0</v>
      </c>
      <c r="M162" s="40">
        <f t="shared" si="3"/>
        <v>1064682.11</v>
      </c>
      <c r="N162" s="41">
        <v>0.0</v>
      </c>
      <c r="O162" s="41">
        <v>0.0</v>
      </c>
      <c r="P162" s="41">
        <v>0.0</v>
      </c>
      <c r="Q162" s="40">
        <f t="shared" si="4"/>
        <v>0</v>
      </c>
    </row>
    <row r="163" ht="15.75" customHeight="1">
      <c r="A163" s="38">
        <v>159.0</v>
      </c>
      <c r="B163" s="39">
        <v>0.0</v>
      </c>
      <c r="C163" s="39">
        <v>0.0</v>
      </c>
      <c r="D163" s="39">
        <v>0.0</v>
      </c>
      <c r="E163" s="40">
        <f t="shared" si="1"/>
        <v>0</v>
      </c>
      <c r="F163" s="39">
        <v>0.0</v>
      </c>
      <c r="G163" s="39">
        <v>429949.05</v>
      </c>
      <c r="H163" s="39">
        <v>0.0</v>
      </c>
      <c r="I163" s="40">
        <f t="shared" si="2"/>
        <v>429949.05</v>
      </c>
      <c r="J163" s="39">
        <v>1925965.62</v>
      </c>
      <c r="K163" s="39">
        <v>486488.79</v>
      </c>
      <c r="L163" s="39">
        <v>0.0</v>
      </c>
      <c r="M163" s="40">
        <f t="shared" si="3"/>
        <v>2412454.41</v>
      </c>
      <c r="N163" s="39">
        <v>0.0</v>
      </c>
      <c r="O163" s="39">
        <v>17185.08</v>
      </c>
      <c r="P163" s="39">
        <v>788366.37</v>
      </c>
      <c r="Q163" s="40">
        <f t="shared" si="4"/>
        <v>805551.45</v>
      </c>
    </row>
    <row r="164" ht="15.75" customHeight="1">
      <c r="A164" s="38">
        <v>160.0</v>
      </c>
      <c r="B164" s="41">
        <v>0.0</v>
      </c>
      <c r="C164" s="41">
        <v>3344846.38</v>
      </c>
      <c r="D164" s="41">
        <v>0.0</v>
      </c>
      <c r="E164" s="40">
        <f t="shared" si="1"/>
        <v>3344846.38</v>
      </c>
      <c r="F164" s="41">
        <v>0.0</v>
      </c>
      <c r="G164" s="41">
        <v>0.0</v>
      </c>
      <c r="H164" s="41">
        <v>0.0</v>
      </c>
      <c r="I164" s="40">
        <f t="shared" si="2"/>
        <v>0</v>
      </c>
      <c r="J164" s="41">
        <v>0.0</v>
      </c>
      <c r="K164" s="41">
        <v>1514144.43</v>
      </c>
      <c r="L164" s="41">
        <v>2110689.4</v>
      </c>
      <c r="M164" s="40">
        <f t="shared" si="3"/>
        <v>3624833.83</v>
      </c>
      <c r="N164" s="41">
        <v>767830.6</v>
      </c>
      <c r="O164" s="41">
        <v>0.0</v>
      </c>
      <c r="P164" s="41">
        <v>4.954447688E7</v>
      </c>
      <c r="Q164" s="40">
        <f t="shared" si="4"/>
        <v>50312307.48</v>
      </c>
    </row>
    <row r="165" ht="15.75" customHeight="1">
      <c r="A165" s="38">
        <v>161.0</v>
      </c>
      <c r="B165" s="39">
        <v>0.0</v>
      </c>
      <c r="C165" s="39">
        <v>0.0</v>
      </c>
      <c r="D165" s="39">
        <v>0.0</v>
      </c>
      <c r="E165" s="40">
        <f t="shared" si="1"/>
        <v>0</v>
      </c>
      <c r="F165" s="39">
        <v>4803930.0</v>
      </c>
      <c r="G165" s="39">
        <v>411668.09</v>
      </c>
      <c r="H165" s="39">
        <v>9681756.46</v>
      </c>
      <c r="I165" s="40">
        <f t="shared" si="2"/>
        <v>14897354.55</v>
      </c>
      <c r="J165" s="39">
        <v>191998.58</v>
      </c>
      <c r="K165" s="39">
        <v>647136.98</v>
      </c>
      <c r="L165" s="39">
        <v>0.0</v>
      </c>
      <c r="M165" s="40">
        <f t="shared" si="3"/>
        <v>839135.56</v>
      </c>
      <c r="N165" s="39">
        <v>4798453.52</v>
      </c>
      <c r="O165" s="39">
        <v>284692.3</v>
      </c>
      <c r="P165" s="39">
        <v>0.0</v>
      </c>
      <c r="Q165" s="40">
        <f t="shared" si="4"/>
        <v>5083145.82</v>
      </c>
    </row>
    <row r="166" ht="15.75" customHeight="1">
      <c r="A166" s="38">
        <v>162.0</v>
      </c>
      <c r="B166" s="41">
        <v>0.0</v>
      </c>
      <c r="C166" s="41">
        <v>0.0</v>
      </c>
      <c r="D166" s="41">
        <v>0.0</v>
      </c>
      <c r="E166" s="40">
        <f t="shared" si="1"/>
        <v>0</v>
      </c>
      <c r="F166" s="41">
        <v>0.0</v>
      </c>
      <c r="G166" s="41">
        <v>447509.47</v>
      </c>
      <c r="H166" s="41">
        <v>0.0</v>
      </c>
      <c r="I166" s="40">
        <f t="shared" si="2"/>
        <v>447509.47</v>
      </c>
      <c r="J166" s="41">
        <v>0.0</v>
      </c>
      <c r="K166" s="41">
        <v>261124.48</v>
      </c>
      <c r="L166" s="41">
        <v>2854625.9</v>
      </c>
      <c r="M166" s="40">
        <f t="shared" si="3"/>
        <v>3115750.38</v>
      </c>
      <c r="N166" s="41">
        <v>0.0</v>
      </c>
      <c r="O166" s="41">
        <v>355890.25</v>
      </c>
      <c r="P166" s="41">
        <v>313615.27</v>
      </c>
      <c r="Q166" s="40">
        <f t="shared" si="4"/>
        <v>669505.52</v>
      </c>
    </row>
    <row r="167" ht="15.75" customHeight="1">
      <c r="A167" s="38">
        <v>163.0</v>
      </c>
      <c r="B167" s="39">
        <v>9431331.83</v>
      </c>
      <c r="C167" s="39">
        <v>0.0</v>
      </c>
      <c r="D167" s="39">
        <v>378498.43</v>
      </c>
      <c r="E167" s="40">
        <f t="shared" si="1"/>
        <v>9809830.26</v>
      </c>
      <c r="F167" s="39">
        <v>0.0</v>
      </c>
      <c r="G167" s="39">
        <v>0.0</v>
      </c>
      <c r="H167" s="39">
        <v>0.0</v>
      </c>
      <c r="I167" s="40">
        <f t="shared" si="2"/>
        <v>0</v>
      </c>
      <c r="J167" s="39">
        <v>0.0</v>
      </c>
      <c r="K167" s="39">
        <v>450560.28</v>
      </c>
      <c r="L167" s="39">
        <v>0.0</v>
      </c>
      <c r="M167" s="40">
        <f t="shared" si="3"/>
        <v>450560.28</v>
      </c>
      <c r="N167" s="39">
        <v>0.0</v>
      </c>
      <c r="O167" s="39">
        <v>209134.34</v>
      </c>
      <c r="P167" s="39">
        <v>0.0</v>
      </c>
      <c r="Q167" s="40">
        <f t="shared" si="4"/>
        <v>209134.34</v>
      </c>
    </row>
    <row r="168" ht="15.75" customHeight="1">
      <c r="A168" s="38">
        <v>164.0</v>
      </c>
      <c r="B168" s="41">
        <v>0.0</v>
      </c>
      <c r="C168" s="41">
        <v>1693015.1</v>
      </c>
      <c r="D168" s="41">
        <v>0.0</v>
      </c>
      <c r="E168" s="40">
        <f t="shared" si="1"/>
        <v>1693015.1</v>
      </c>
      <c r="F168" s="41">
        <v>4641138.73</v>
      </c>
      <c r="G168" s="41">
        <v>0.0</v>
      </c>
      <c r="H168" s="41">
        <v>2.910724742E7</v>
      </c>
      <c r="I168" s="40">
        <f t="shared" si="2"/>
        <v>33748386.15</v>
      </c>
      <c r="J168" s="41">
        <v>5572508.66</v>
      </c>
      <c r="K168" s="41">
        <v>64353.66</v>
      </c>
      <c r="L168" s="41">
        <v>0.0</v>
      </c>
      <c r="M168" s="40">
        <f t="shared" si="3"/>
        <v>5636862.32</v>
      </c>
      <c r="N168" s="41">
        <v>2322059.83</v>
      </c>
      <c r="O168" s="41">
        <v>888859.72</v>
      </c>
      <c r="P168" s="41">
        <v>0.0</v>
      </c>
      <c r="Q168" s="40">
        <f t="shared" si="4"/>
        <v>3210919.55</v>
      </c>
    </row>
    <row r="169" ht="15.75" customHeight="1">
      <c r="A169" s="38">
        <v>165.0</v>
      </c>
      <c r="B169" s="39">
        <v>3230483.17</v>
      </c>
      <c r="C169" s="39">
        <v>0.0</v>
      </c>
      <c r="D169" s="39">
        <v>0.0</v>
      </c>
      <c r="E169" s="40">
        <f t="shared" si="1"/>
        <v>3230483.17</v>
      </c>
      <c r="F169" s="39">
        <v>0.0</v>
      </c>
      <c r="G169" s="39">
        <v>0.0</v>
      </c>
      <c r="H169" s="39">
        <v>1605742.21</v>
      </c>
      <c r="I169" s="40">
        <f t="shared" si="2"/>
        <v>1605742.21</v>
      </c>
      <c r="J169" s="39">
        <v>0.0</v>
      </c>
      <c r="K169" s="39">
        <v>0.0</v>
      </c>
      <c r="L169" s="39">
        <v>801686.79</v>
      </c>
      <c r="M169" s="40">
        <f t="shared" si="3"/>
        <v>801686.79</v>
      </c>
      <c r="N169" s="39">
        <v>0.0</v>
      </c>
      <c r="O169" s="39">
        <v>0.0</v>
      </c>
      <c r="P169" s="39">
        <v>0.0</v>
      </c>
      <c r="Q169" s="40">
        <f t="shared" si="4"/>
        <v>0</v>
      </c>
    </row>
    <row r="170" ht="15.75" customHeight="1">
      <c r="A170" s="38">
        <v>166.0</v>
      </c>
      <c r="B170" s="41">
        <v>0.0</v>
      </c>
      <c r="C170" s="41">
        <v>315940.9</v>
      </c>
      <c r="D170" s="41">
        <v>5640555.71</v>
      </c>
      <c r="E170" s="40">
        <f t="shared" si="1"/>
        <v>5956496.61</v>
      </c>
      <c r="F170" s="41">
        <v>0.0</v>
      </c>
      <c r="G170" s="41">
        <v>350490.06</v>
      </c>
      <c r="H170" s="41">
        <v>0.0</v>
      </c>
      <c r="I170" s="40">
        <f t="shared" si="2"/>
        <v>350490.06</v>
      </c>
      <c r="J170" s="41">
        <v>822490.57</v>
      </c>
      <c r="K170" s="41">
        <v>0.0</v>
      </c>
      <c r="L170" s="41">
        <v>0.0</v>
      </c>
      <c r="M170" s="40">
        <f t="shared" si="3"/>
        <v>822490.57</v>
      </c>
      <c r="N170" s="41">
        <v>0.0</v>
      </c>
      <c r="O170" s="41">
        <v>0.0</v>
      </c>
      <c r="P170" s="41">
        <v>0.0</v>
      </c>
      <c r="Q170" s="40">
        <f t="shared" si="4"/>
        <v>0</v>
      </c>
    </row>
    <row r="171" ht="15.75" customHeight="1">
      <c r="A171" s="38">
        <v>167.0</v>
      </c>
      <c r="B171" s="39">
        <v>6280022.12</v>
      </c>
      <c r="C171" s="39">
        <v>2256147.18</v>
      </c>
      <c r="D171" s="39">
        <v>0.0</v>
      </c>
      <c r="E171" s="40">
        <f t="shared" si="1"/>
        <v>8536169.3</v>
      </c>
      <c r="F171" s="39">
        <v>0.0</v>
      </c>
      <c r="G171" s="39">
        <v>0.0</v>
      </c>
      <c r="H171" s="39">
        <v>0.0</v>
      </c>
      <c r="I171" s="40">
        <f t="shared" si="2"/>
        <v>0</v>
      </c>
      <c r="J171" s="39">
        <v>0.0</v>
      </c>
      <c r="K171" s="39">
        <v>0.0</v>
      </c>
      <c r="L171" s="39">
        <v>0.0</v>
      </c>
      <c r="M171" s="40">
        <f t="shared" si="3"/>
        <v>0</v>
      </c>
      <c r="N171" s="39">
        <v>0.0</v>
      </c>
      <c r="O171" s="39">
        <v>0.0</v>
      </c>
      <c r="P171" s="39">
        <v>0.0</v>
      </c>
      <c r="Q171" s="40">
        <f t="shared" si="4"/>
        <v>0</v>
      </c>
    </row>
    <row r="172" ht="15.75" customHeight="1">
      <c r="A172" s="38">
        <v>168.0</v>
      </c>
      <c r="B172" s="41">
        <v>0.0</v>
      </c>
      <c r="C172" s="41">
        <v>343586.42</v>
      </c>
      <c r="D172" s="41">
        <v>0.0</v>
      </c>
      <c r="E172" s="40">
        <f t="shared" si="1"/>
        <v>343586.42</v>
      </c>
      <c r="F172" s="41">
        <v>0.0</v>
      </c>
      <c r="G172" s="41">
        <v>0.0</v>
      </c>
      <c r="H172" s="41">
        <v>0.0</v>
      </c>
      <c r="I172" s="40">
        <f t="shared" si="2"/>
        <v>0</v>
      </c>
      <c r="J172" s="41">
        <v>0.0</v>
      </c>
      <c r="K172" s="41">
        <v>118055.9</v>
      </c>
      <c r="L172" s="41">
        <v>0.0</v>
      </c>
      <c r="M172" s="40">
        <f t="shared" si="3"/>
        <v>118055.9</v>
      </c>
      <c r="N172" s="41">
        <v>0.0</v>
      </c>
      <c r="O172" s="41">
        <v>0.0</v>
      </c>
      <c r="P172" s="41">
        <v>0.0</v>
      </c>
      <c r="Q172" s="40">
        <f t="shared" si="4"/>
        <v>0</v>
      </c>
    </row>
    <row r="173" ht="15.75" customHeight="1">
      <c r="A173" s="38">
        <v>169.0</v>
      </c>
      <c r="B173" s="39">
        <v>0.0</v>
      </c>
      <c r="C173" s="39">
        <v>569065.63</v>
      </c>
      <c r="D173" s="39">
        <v>0.0</v>
      </c>
      <c r="E173" s="40">
        <f t="shared" si="1"/>
        <v>569065.63</v>
      </c>
      <c r="F173" s="39">
        <v>0.0</v>
      </c>
      <c r="G173" s="39">
        <v>623299.71</v>
      </c>
      <c r="H173" s="39">
        <v>0.0</v>
      </c>
      <c r="I173" s="40">
        <f t="shared" si="2"/>
        <v>623299.71</v>
      </c>
      <c r="J173" s="39">
        <v>0.0</v>
      </c>
      <c r="K173" s="39">
        <v>0.0</v>
      </c>
      <c r="L173" s="39">
        <v>0.0</v>
      </c>
      <c r="M173" s="40">
        <f t="shared" si="3"/>
        <v>0</v>
      </c>
      <c r="N173" s="39">
        <v>506965.72</v>
      </c>
      <c r="O173" s="39">
        <v>396737.69</v>
      </c>
      <c r="P173" s="39">
        <v>0.0</v>
      </c>
      <c r="Q173" s="40">
        <f t="shared" si="4"/>
        <v>903703.41</v>
      </c>
    </row>
    <row r="174" ht="15.75" customHeight="1">
      <c r="A174" s="38">
        <v>170.0</v>
      </c>
      <c r="B174" s="41">
        <v>0.0</v>
      </c>
      <c r="C174" s="41">
        <v>660652.02</v>
      </c>
      <c r="D174" s="41">
        <v>0.0</v>
      </c>
      <c r="E174" s="40">
        <f t="shared" si="1"/>
        <v>660652.02</v>
      </c>
      <c r="F174" s="41">
        <v>3121214.05</v>
      </c>
      <c r="G174" s="41">
        <v>379720.44</v>
      </c>
      <c r="H174" s="41">
        <v>0.0</v>
      </c>
      <c r="I174" s="40">
        <f t="shared" si="2"/>
        <v>3500934.49</v>
      </c>
      <c r="J174" s="41">
        <v>2012348.72</v>
      </c>
      <c r="K174" s="41">
        <v>81780.25</v>
      </c>
      <c r="L174" s="41">
        <v>2942173.88</v>
      </c>
      <c r="M174" s="40">
        <f t="shared" si="3"/>
        <v>5036302.85</v>
      </c>
      <c r="N174" s="41">
        <v>0.0</v>
      </c>
      <c r="O174" s="41">
        <v>34100.45</v>
      </c>
      <c r="P174" s="41">
        <v>0.0</v>
      </c>
      <c r="Q174" s="40">
        <f t="shared" si="4"/>
        <v>34100.45</v>
      </c>
    </row>
    <row r="175" ht="15.75" customHeight="1">
      <c r="A175" s="38">
        <v>171.0</v>
      </c>
      <c r="B175" s="39">
        <v>0.0</v>
      </c>
      <c r="C175" s="39">
        <v>785999.52</v>
      </c>
      <c r="D175" s="39">
        <v>0.0</v>
      </c>
      <c r="E175" s="40">
        <f t="shared" si="1"/>
        <v>785999.52</v>
      </c>
      <c r="F175" s="39">
        <v>2111175.65</v>
      </c>
      <c r="G175" s="39">
        <v>2378330.24</v>
      </c>
      <c r="H175" s="39">
        <v>839933.8</v>
      </c>
      <c r="I175" s="40">
        <f t="shared" si="2"/>
        <v>5329439.69</v>
      </c>
      <c r="J175" s="39">
        <v>140612.76</v>
      </c>
      <c r="K175" s="39">
        <v>118351.67</v>
      </c>
      <c r="L175" s="39">
        <v>5250307.06</v>
      </c>
      <c r="M175" s="40">
        <f t="shared" si="3"/>
        <v>5509271.49</v>
      </c>
      <c r="N175" s="39">
        <v>0.0</v>
      </c>
      <c r="O175" s="39">
        <v>590977.15</v>
      </c>
      <c r="P175" s="39">
        <v>0.0</v>
      </c>
      <c r="Q175" s="40">
        <f t="shared" si="4"/>
        <v>590977.15</v>
      </c>
    </row>
    <row r="176" ht="15.75" customHeight="1">
      <c r="A176" s="38">
        <v>172.0</v>
      </c>
      <c r="B176" s="41">
        <v>0.0</v>
      </c>
      <c r="C176" s="41">
        <v>269780.35</v>
      </c>
      <c r="D176" s="41">
        <v>1.027998922E7</v>
      </c>
      <c r="E176" s="40">
        <f t="shared" si="1"/>
        <v>10549769.57</v>
      </c>
      <c r="F176" s="41">
        <v>0.0</v>
      </c>
      <c r="G176" s="41">
        <v>0.0</v>
      </c>
      <c r="H176" s="41">
        <v>0.0</v>
      </c>
      <c r="I176" s="40">
        <f t="shared" si="2"/>
        <v>0</v>
      </c>
      <c r="J176" s="41">
        <v>0.0</v>
      </c>
      <c r="K176" s="41">
        <v>329416.63</v>
      </c>
      <c r="L176" s="41">
        <v>0.0</v>
      </c>
      <c r="M176" s="40">
        <f t="shared" si="3"/>
        <v>329416.63</v>
      </c>
      <c r="N176" s="41">
        <v>1271026.75</v>
      </c>
      <c r="O176" s="41">
        <v>409997.19</v>
      </c>
      <c r="P176" s="41">
        <v>0.0</v>
      </c>
      <c r="Q176" s="40">
        <f t="shared" si="4"/>
        <v>1681023.94</v>
      </c>
    </row>
    <row r="177" ht="15.75" customHeight="1">
      <c r="A177" s="38">
        <v>173.0</v>
      </c>
      <c r="B177" s="39">
        <v>0.0</v>
      </c>
      <c r="C177" s="39">
        <v>168125.19</v>
      </c>
      <c r="D177" s="39">
        <v>0.0</v>
      </c>
      <c r="E177" s="40">
        <f t="shared" si="1"/>
        <v>168125.19</v>
      </c>
      <c r="F177" s="39">
        <v>0.0</v>
      </c>
      <c r="G177" s="39">
        <v>0.0</v>
      </c>
      <c r="H177" s="39">
        <v>0.0</v>
      </c>
      <c r="I177" s="40">
        <f t="shared" si="2"/>
        <v>0</v>
      </c>
      <c r="J177" s="39">
        <v>0.0</v>
      </c>
      <c r="K177" s="39">
        <v>0.0</v>
      </c>
      <c r="L177" s="39">
        <v>0.0</v>
      </c>
      <c r="M177" s="40">
        <f t="shared" si="3"/>
        <v>0</v>
      </c>
      <c r="N177" s="39">
        <v>0.0</v>
      </c>
      <c r="O177" s="39">
        <v>0.0</v>
      </c>
      <c r="P177" s="39">
        <v>1481159.02</v>
      </c>
      <c r="Q177" s="40">
        <f t="shared" si="4"/>
        <v>1481159.02</v>
      </c>
    </row>
    <row r="178" ht="15.75" customHeight="1">
      <c r="A178" s="38">
        <v>174.0</v>
      </c>
      <c r="B178" s="41">
        <v>2598660.11</v>
      </c>
      <c r="C178" s="41">
        <v>0.0</v>
      </c>
      <c r="D178" s="41">
        <v>1.106361068E7</v>
      </c>
      <c r="E178" s="40">
        <f t="shared" si="1"/>
        <v>13662270.79</v>
      </c>
      <c r="F178" s="41">
        <v>1459487.63</v>
      </c>
      <c r="G178" s="41">
        <v>0.0</v>
      </c>
      <c r="H178" s="41">
        <v>0.0</v>
      </c>
      <c r="I178" s="40">
        <f t="shared" si="2"/>
        <v>1459487.63</v>
      </c>
      <c r="J178" s="41">
        <v>675337.41</v>
      </c>
      <c r="K178" s="41">
        <v>649805.07</v>
      </c>
      <c r="L178" s="41">
        <v>0.0</v>
      </c>
      <c r="M178" s="40">
        <f t="shared" si="3"/>
        <v>1325142.48</v>
      </c>
      <c r="N178" s="41">
        <v>0.0</v>
      </c>
      <c r="O178" s="41">
        <v>0.0</v>
      </c>
      <c r="P178" s="41">
        <v>0.0</v>
      </c>
      <c r="Q178" s="40">
        <f t="shared" si="4"/>
        <v>0</v>
      </c>
    </row>
    <row r="179" ht="15.75" customHeight="1">
      <c r="A179" s="38">
        <v>175.0</v>
      </c>
      <c r="B179" s="39">
        <v>0.0</v>
      </c>
      <c r="C179" s="39">
        <v>221873.32</v>
      </c>
      <c r="D179" s="39">
        <v>3898078.32</v>
      </c>
      <c r="E179" s="40">
        <f t="shared" si="1"/>
        <v>4119951.64</v>
      </c>
      <c r="F179" s="39">
        <v>0.0</v>
      </c>
      <c r="G179" s="39">
        <v>0.0</v>
      </c>
      <c r="H179" s="39">
        <v>0.0</v>
      </c>
      <c r="I179" s="40">
        <f t="shared" si="2"/>
        <v>0</v>
      </c>
      <c r="J179" s="39">
        <v>1713731.19</v>
      </c>
      <c r="K179" s="39">
        <v>166728.38</v>
      </c>
      <c r="L179" s="39">
        <v>1798661.15</v>
      </c>
      <c r="M179" s="40">
        <f t="shared" si="3"/>
        <v>3679120.72</v>
      </c>
      <c r="N179" s="39">
        <v>902532.14</v>
      </c>
      <c r="O179" s="39">
        <v>0.0</v>
      </c>
      <c r="P179" s="39">
        <v>2132389.2</v>
      </c>
      <c r="Q179" s="40">
        <f t="shared" si="4"/>
        <v>3034921.34</v>
      </c>
    </row>
    <row r="180" ht="15.75" customHeight="1">
      <c r="A180" s="38">
        <v>176.0</v>
      </c>
      <c r="B180" s="41">
        <v>5442602.7</v>
      </c>
      <c r="C180" s="41">
        <v>0.0</v>
      </c>
      <c r="D180" s="41">
        <v>0.0</v>
      </c>
      <c r="E180" s="40">
        <f t="shared" si="1"/>
        <v>5442602.7</v>
      </c>
      <c r="F180" s="41">
        <v>478535.5</v>
      </c>
      <c r="G180" s="41">
        <v>0.0</v>
      </c>
      <c r="H180" s="41">
        <v>0.0</v>
      </c>
      <c r="I180" s="40">
        <f t="shared" si="2"/>
        <v>478535.5</v>
      </c>
      <c r="J180" s="41">
        <v>0.0</v>
      </c>
      <c r="K180" s="41">
        <v>0.0</v>
      </c>
      <c r="L180" s="41">
        <v>0.0</v>
      </c>
      <c r="M180" s="40">
        <f t="shared" si="3"/>
        <v>0</v>
      </c>
      <c r="N180" s="41">
        <v>0.0</v>
      </c>
      <c r="O180" s="41">
        <v>355060.59</v>
      </c>
      <c r="P180" s="41">
        <v>1.306380466E7</v>
      </c>
      <c r="Q180" s="40">
        <f t="shared" si="4"/>
        <v>13418865.25</v>
      </c>
    </row>
    <row r="181" ht="15.75" customHeight="1">
      <c r="A181" s="38">
        <v>177.0</v>
      </c>
      <c r="B181" s="39">
        <v>831937.95</v>
      </c>
      <c r="C181" s="39">
        <v>806181.45</v>
      </c>
      <c r="D181" s="39">
        <v>2.946747441E7</v>
      </c>
      <c r="E181" s="40">
        <f t="shared" si="1"/>
        <v>31105593.81</v>
      </c>
      <c r="F181" s="39">
        <v>0.0</v>
      </c>
      <c r="G181" s="39">
        <v>243232.78</v>
      </c>
      <c r="H181" s="39">
        <v>0.0</v>
      </c>
      <c r="I181" s="40">
        <f t="shared" si="2"/>
        <v>243232.78</v>
      </c>
      <c r="J181" s="39">
        <v>0.0</v>
      </c>
      <c r="K181" s="39">
        <v>0.0</v>
      </c>
      <c r="L181" s="39">
        <v>0.0</v>
      </c>
      <c r="M181" s="40">
        <f t="shared" si="3"/>
        <v>0</v>
      </c>
      <c r="N181" s="39">
        <v>0.0</v>
      </c>
      <c r="O181" s="39">
        <v>394147.14</v>
      </c>
      <c r="P181" s="39">
        <v>0.0</v>
      </c>
      <c r="Q181" s="40">
        <f t="shared" si="4"/>
        <v>394147.14</v>
      </c>
    </row>
    <row r="182" ht="15.75" customHeight="1">
      <c r="A182" s="38">
        <v>178.0</v>
      </c>
      <c r="B182" s="41">
        <v>0.0</v>
      </c>
      <c r="C182" s="41">
        <v>0.0</v>
      </c>
      <c r="D182" s="41">
        <v>0.0</v>
      </c>
      <c r="E182" s="40">
        <f t="shared" si="1"/>
        <v>0</v>
      </c>
      <c r="F182" s="41">
        <v>1393974.45</v>
      </c>
      <c r="G182" s="41">
        <v>0.0</v>
      </c>
      <c r="H182" s="41">
        <v>2255913.76</v>
      </c>
      <c r="I182" s="40">
        <f t="shared" si="2"/>
        <v>3649888.21</v>
      </c>
      <c r="J182" s="41">
        <v>0.0</v>
      </c>
      <c r="K182" s="41">
        <v>0.0</v>
      </c>
      <c r="L182" s="41">
        <v>0.0</v>
      </c>
      <c r="M182" s="40">
        <f t="shared" si="3"/>
        <v>0</v>
      </c>
      <c r="N182" s="41">
        <v>648094.85</v>
      </c>
      <c r="O182" s="41">
        <v>0.0</v>
      </c>
      <c r="P182" s="41">
        <v>0.0</v>
      </c>
      <c r="Q182" s="40">
        <f t="shared" si="4"/>
        <v>648094.85</v>
      </c>
    </row>
    <row r="183" ht="15.75" customHeight="1">
      <c r="A183" s="38">
        <v>179.0</v>
      </c>
      <c r="B183" s="39">
        <v>1682394.33</v>
      </c>
      <c r="C183" s="39">
        <v>0.0</v>
      </c>
      <c r="D183" s="39">
        <v>0.0</v>
      </c>
      <c r="E183" s="40">
        <f t="shared" si="1"/>
        <v>1682394.33</v>
      </c>
      <c r="F183" s="39">
        <v>0.0</v>
      </c>
      <c r="G183" s="39">
        <v>351480.11</v>
      </c>
      <c r="H183" s="39">
        <v>0.0</v>
      </c>
      <c r="I183" s="40">
        <f t="shared" si="2"/>
        <v>351480.11</v>
      </c>
      <c r="J183" s="39">
        <v>357482.08</v>
      </c>
      <c r="K183" s="39">
        <v>0.0</v>
      </c>
      <c r="L183" s="39">
        <v>1254057.09</v>
      </c>
      <c r="M183" s="40">
        <f t="shared" si="3"/>
        <v>1611539.17</v>
      </c>
      <c r="N183" s="39">
        <v>0.0</v>
      </c>
      <c r="O183" s="39">
        <v>295057.98</v>
      </c>
      <c r="P183" s="39">
        <v>0.0</v>
      </c>
      <c r="Q183" s="40">
        <f t="shared" si="4"/>
        <v>295057.98</v>
      </c>
    </row>
    <row r="184" ht="15.75" customHeight="1">
      <c r="A184" s="38">
        <v>180.0</v>
      </c>
      <c r="B184" s="41">
        <v>288705.78</v>
      </c>
      <c r="C184" s="41">
        <v>27119.3</v>
      </c>
      <c r="D184" s="41">
        <v>0.0</v>
      </c>
      <c r="E184" s="40">
        <f t="shared" si="1"/>
        <v>315825.08</v>
      </c>
      <c r="F184" s="41">
        <v>426294.76</v>
      </c>
      <c r="G184" s="41">
        <v>0.0</v>
      </c>
      <c r="H184" s="41">
        <v>0.0</v>
      </c>
      <c r="I184" s="40">
        <f t="shared" si="2"/>
        <v>426294.76</v>
      </c>
      <c r="J184" s="41">
        <v>76525.81</v>
      </c>
      <c r="K184" s="41">
        <v>0.0</v>
      </c>
      <c r="L184" s="41">
        <v>0.0</v>
      </c>
      <c r="M184" s="40">
        <f t="shared" si="3"/>
        <v>76525.81</v>
      </c>
      <c r="N184" s="41">
        <v>0.0</v>
      </c>
      <c r="O184" s="41">
        <v>109347.8</v>
      </c>
      <c r="P184" s="41">
        <v>0.0</v>
      </c>
      <c r="Q184" s="40">
        <f t="shared" si="4"/>
        <v>109347.8</v>
      </c>
    </row>
    <row r="185" ht="15.75" customHeight="1">
      <c r="A185" s="38">
        <v>181.0</v>
      </c>
      <c r="B185" s="39">
        <v>1468904.18</v>
      </c>
      <c r="C185" s="39">
        <v>0.0</v>
      </c>
      <c r="D185" s="39">
        <v>0.0</v>
      </c>
      <c r="E185" s="40">
        <f t="shared" si="1"/>
        <v>1468904.18</v>
      </c>
      <c r="F185" s="39">
        <v>341393.42</v>
      </c>
      <c r="G185" s="39">
        <v>0.0</v>
      </c>
      <c r="H185" s="39">
        <v>0.0</v>
      </c>
      <c r="I185" s="40">
        <f t="shared" si="2"/>
        <v>341393.42</v>
      </c>
      <c r="J185" s="39">
        <v>1343339.56</v>
      </c>
      <c r="K185" s="39">
        <v>304153.91</v>
      </c>
      <c r="L185" s="39">
        <v>0.0</v>
      </c>
      <c r="M185" s="40">
        <f t="shared" si="3"/>
        <v>1647493.47</v>
      </c>
      <c r="N185" s="39">
        <v>0.0</v>
      </c>
      <c r="O185" s="39">
        <v>105045.89</v>
      </c>
      <c r="P185" s="39">
        <v>0.0</v>
      </c>
      <c r="Q185" s="40">
        <f t="shared" si="4"/>
        <v>105045.89</v>
      </c>
    </row>
    <row r="186" ht="15.75" customHeight="1">
      <c r="A186" s="38">
        <v>182.0</v>
      </c>
      <c r="B186" s="41">
        <v>0.0</v>
      </c>
      <c r="C186" s="41">
        <v>544276.6</v>
      </c>
      <c r="D186" s="41">
        <v>0.0</v>
      </c>
      <c r="E186" s="40">
        <f t="shared" si="1"/>
        <v>544276.6</v>
      </c>
      <c r="F186" s="41">
        <v>762279.83</v>
      </c>
      <c r="G186" s="41">
        <v>1341073.2</v>
      </c>
      <c r="H186" s="41">
        <v>5779319.13</v>
      </c>
      <c r="I186" s="40">
        <f t="shared" si="2"/>
        <v>7882672.16</v>
      </c>
      <c r="J186" s="41">
        <v>0.0</v>
      </c>
      <c r="K186" s="41">
        <v>360639.46</v>
      </c>
      <c r="L186" s="41">
        <v>0.0</v>
      </c>
      <c r="M186" s="40">
        <f t="shared" si="3"/>
        <v>360639.46</v>
      </c>
      <c r="N186" s="41">
        <v>1763014.22</v>
      </c>
      <c r="O186" s="41">
        <v>106242.76</v>
      </c>
      <c r="P186" s="41">
        <v>0.0</v>
      </c>
      <c r="Q186" s="40">
        <f t="shared" si="4"/>
        <v>1869256.98</v>
      </c>
    </row>
    <row r="187" ht="15.75" customHeight="1">
      <c r="A187" s="38">
        <v>183.0</v>
      </c>
      <c r="B187" s="39">
        <v>0.0</v>
      </c>
      <c r="C187" s="39">
        <v>108027.99</v>
      </c>
      <c r="D187" s="39">
        <v>0.0</v>
      </c>
      <c r="E187" s="40">
        <f t="shared" si="1"/>
        <v>108027.99</v>
      </c>
      <c r="F187" s="39">
        <v>0.0</v>
      </c>
      <c r="G187" s="39">
        <v>0.0</v>
      </c>
      <c r="H187" s="39">
        <v>0.0</v>
      </c>
      <c r="I187" s="40">
        <f t="shared" si="2"/>
        <v>0</v>
      </c>
      <c r="J187" s="39">
        <v>1314672.78</v>
      </c>
      <c r="K187" s="39">
        <v>330542.86</v>
      </c>
      <c r="L187" s="39">
        <v>0.0</v>
      </c>
      <c r="M187" s="40">
        <f t="shared" si="3"/>
        <v>1645215.64</v>
      </c>
      <c r="N187" s="39">
        <v>1004665.18</v>
      </c>
      <c r="O187" s="39">
        <v>177753.89</v>
      </c>
      <c r="P187" s="39">
        <v>0.0</v>
      </c>
      <c r="Q187" s="40">
        <f t="shared" si="4"/>
        <v>1182419.07</v>
      </c>
    </row>
    <row r="188" ht="15.75" customHeight="1">
      <c r="A188" s="38">
        <v>184.0</v>
      </c>
      <c r="B188" s="41">
        <v>0.0</v>
      </c>
      <c r="C188" s="41">
        <v>0.0</v>
      </c>
      <c r="D188" s="41">
        <v>0.0</v>
      </c>
      <c r="E188" s="40">
        <f t="shared" si="1"/>
        <v>0</v>
      </c>
      <c r="F188" s="41">
        <v>0.0</v>
      </c>
      <c r="G188" s="41">
        <v>0.0</v>
      </c>
      <c r="H188" s="41">
        <v>1.434703879E7</v>
      </c>
      <c r="I188" s="40">
        <f t="shared" si="2"/>
        <v>14347038.79</v>
      </c>
      <c r="J188" s="41">
        <v>60685.54</v>
      </c>
      <c r="K188" s="41">
        <v>0.0</v>
      </c>
      <c r="L188" s="41">
        <v>0.0</v>
      </c>
      <c r="M188" s="40">
        <f t="shared" si="3"/>
        <v>60685.54</v>
      </c>
      <c r="N188" s="41">
        <v>0.0</v>
      </c>
      <c r="O188" s="41">
        <v>0.0</v>
      </c>
      <c r="P188" s="41">
        <v>0.0</v>
      </c>
      <c r="Q188" s="40">
        <f t="shared" si="4"/>
        <v>0</v>
      </c>
    </row>
    <row r="189" ht="15.75" customHeight="1">
      <c r="A189" s="38">
        <v>185.0</v>
      </c>
      <c r="B189" s="39">
        <v>1219128.28</v>
      </c>
      <c r="C189" s="39">
        <v>918330.3</v>
      </c>
      <c r="D189" s="39">
        <v>1949683.67</v>
      </c>
      <c r="E189" s="40">
        <f t="shared" si="1"/>
        <v>4087142.25</v>
      </c>
      <c r="F189" s="39">
        <v>0.0</v>
      </c>
      <c r="G189" s="39">
        <v>0.0</v>
      </c>
      <c r="H189" s="39">
        <v>2.072324018E7</v>
      </c>
      <c r="I189" s="40">
        <f t="shared" si="2"/>
        <v>20723240.18</v>
      </c>
      <c r="J189" s="39">
        <v>0.0</v>
      </c>
      <c r="K189" s="39">
        <v>471606.43</v>
      </c>
      <c r="L189" s="39">
        <v>0.0</v>
      </c>
      <c r="M189" s="40">
        <f t="shared" si="3"/>
        <v>471606.43</v>
      </c>
      <c r="N189" s="39">
        <v>0.0</v>
      </c>
      <c r="O189" s="39">
        <v>95985.85</v>
      </c>
      <c r="P189" s="39">
        <v>0.0</v>
      </c>
      <c r="Q189" s="40">
        <f t="shared" si="4"/>
        <v>95985.85</v>
      </c>
    </row>
    <row r="190" ht="15.75" customHeight="1">
      <c r="A190" s="38">
        <v>186.0</v>
      </c>
      <c r="B190" s="41">
        <v>4138670.1</v>
      </c>
      <c r="C190" s="41">
        <v>0.0</v>
      </c>
      <c r="D190" s="41">
        <v>3125212.85</v>
      </c>
      <c r="E190" s="40">
        <f t="shared" si="1"/>
        <v>7263882.95</v>
      </c>
      <c r="F190" s="41">
        <v>0.0</v>
      </c>
      <c r="G190" s="41">
        <v>0.0</v>
      </c>
      <c r="H190" s="41">
        <v>0.0</v>
      </c>
      <c r="I190" s="40">
        <f t="shared" si="2"/>
        <v>0</v>
      </c>
      <c r="J190" s="41">
        <v>2944347.99</v>
      </c>
      <c r="K190" s="41">
        <v>453667.73</v>
      </c>
      <c r="L190" s="41">
        <v>8303917.52</v>
      </c>
      <c r="M190" s="40">
        <f t="shared" si="3"/>
        <v>11701933.24</v>
      </c>
      <c r="N190" s="41">
        <v>0.0</v>
      </c>
      <c r="O190" s="41">
        <v>0.0</v>
      </c>
      <c r="P190" s="41">
        <v>0.0</v>
      </c>
      <c r="Q190" s="40">
        <f t="shared" si="4"/>
        <v>0</v>
      </c>
    </row>
    <row r="191" ht="15.75" customHeight="1">
      <c r="A191" s="38">
        <v>187.0</v>
      </c>
      <c r="B191" s="39">
        <v>271915.34</v>
      </c>
      <c r="C191" s="39">
        <v>543130.2</v>
      </c>
      <c r="D191" s="39">
        <v>0.0</v>
      </c>
      <c r="E191" s="40">
        <f t="shared" si="1"/>
        <v>815045.54</v>
      </c>
      <c r="F191" s="39">
        <v>0.0</v>
      </c>
      <c r="G191" s="39">
        <v>738009.7</v>
      </c>
      <c r="H191" s="39">
        <v>0.0</v>
      </c>
      <c r="I191" s="40">
        <f t="shared" si="2"/>
        <v>738009.7</v>
      </c>
      <c r="J191" s="39">
        <v>0.0</v>
      </c>
      <c r="K191" s="39">
        <v>0.0</v>
      </c>
      <c r="L191" s="39">
        <v>1080401.99</v>
      </c>
      <c r="M191" s="40">
        <f t="shared" si="3"/>
        <v>1080401.99</v>
      </c>
      <c r="N191" s="39">
        <v>0.0</v>
      </c>
      <c r="O191" s="39">
        <v>125185.48</v>
      </c>
      <c r="P191" s="39">
        <v>0.0</v>
      </c>
      <c r="Q191" s="40">
        <f t="shared" si="4"/>
        <v>125185.48</v>
      </c>
    </row>
    <row r="192" ht="15.75" customHeight="1">
      <c r="A192" s="38">
        <v>188.0</v>
      </c>
      <c r="B192" s="41">
        <v>1860078.08</v>
      </c>
      <c r="C192" s="41">
        <v>0.0</v>
      </c>
      <c r="D192" s="41">
        <v>0.0</v>
      </c>
      <c r="E192" s="40">
        <f t="shared" si="1"/>
        <v>1860078.08</v>
      </c>
      <c r="F192" s="41">
        <v>0.0</v>
      </c>
      <c r="G192" s="41">
        <v>0.0</v>
      </c>
      <c r="H192" s="41">
        <v>0.0</v>
      </c>
      <c r="I192" s="40">
        <f t="shared" si="2"/>
        <v>0</v>
      </c>
      <c r="J192" s="41">
        <v>0.0</v>
      </c>
      <c r="K192" s="41">
        <v>0.0</v>
      </c>
      <c r="L192" s="41">
        <v>0.0</v>
      </c>
      <c r="M192" s="40">
        <f t="shared" si="3"/>
        <v>0</v>
      </c>
      <c r="N192" s="41">
        <v>0.0</v>
      </c>
      <c r="O192" s="41">
        <v>227422.78</v>
      </c>
      <c r="P192" s="41">
        <v>0.0</v>
      </c>
      <c r="Q192" s="40">
        <f t="shared" si="4"/>
        <v>227422.78</v>
      </c>
    </row>
    <row r="193" ht="15.75" customHeight="1">
      <c r="A193" s="38">
        <v>189.0</v>
      </c>
      <c r="B193" s="39">
        <v>2451649.59</v>
      </c>
      <c r="C193" s="39">
        <v>0.0</v>
      </c>
      <c r="D193" s="39">
        <v>7539738.8</v>
      </c>
      <c r="E193" s="40">
        <f t="shared" si="1"/>
        <v>9991388.39</v>
      </c>
      <c r="F193" s="39">
        <v>8038971.77</v>
      </c>
      <c r="G193" s="39">
        <v>0.0</v>
      </c>
      <c r="H193" s="39">
        <v>0.0</v>
      </c>
      <c r="I193" s="40">
        <f t="shared" si="2"/>
        <v>8038971.77</v>
      </c>
      <c r="J193" s="39">
        <v>222048.99</v>
      </c>
      <c r="K193" s="39">
        <v>286038.84</v>
      </c>
      <c r="L193" s="39">
        <v>0.0</v>
      </c>
      <c r="M193" s="40">
        <f t="shared" si="3"/>
        <v>508087.83</v>
      </c>
      <c r="N193" s="39">
        <v>0.0</v>
      </c>
      <c r="O193" s="39">
        <v>0.0</v>
      </c>
      <c r="P193" s="39">
        <v>0.0</v>
      </c>
      <c r="Q193" s="40">
        <f t="shared" si="4"/>
        <v>0</v>
      </c>
    </row>
    <row r="194" ht="15.75" customHeight="1">
      <c r="A194" s="38">
        <v>190.0</v>
      </c>
      <c r="B194" s="41">
        <v>0.0</v>
      </c>
      <c r="C194" s="41">
        <v>0.0</v>
      </c>
      <c r="D194" s="41">
        <v>0.0</v>
      </c>
      <c r="E194" s="40">
        <f t="shared" si="1"/>
        <v>0</v>
      </c>
      <c r="F194" s="41">
        <v>4347242.39</v>
      </c>
      <c r="G194" s="41">
        <v>572455.68</v>
      </c>
      <c r="H194" s="41">
        <v>7465259.76</v>
      </c>
      <c r="I194" s="40">
        <f t="shared" si="2"/>
        <v>12384957.83</v>
      </c>
      <c r="J194" s="41">
        <v>0.0</v>
      </c>
      <c r="K194" s="41">
        <v>250103.48</v>
      </c>
      <c r="L194" s="41">
        <v>0.0</v>
      </c>
      <c r="M194" s="40">
        <f t="shared" si="3"/>
        <v>250103.48</v>
      </c>
      <c r="N194" s="41">
        <v>4162445.99</v>
      </c>
      <c r="O194" s="41">
        <v>0.0</v>
      </c>
      <c r="P194" s="41">
        <v>3215675.41</v>
      </c>
      <c r="Q194" s="40">
        <f t="shared" si="4"/>
        <v>7378121.4</v>
      </c>
    </row>
    <row r="195" ht="15.75" customHeight="1">
      <c r="A195" s="38">
        <v>191.0</v>
      </c>
      <c r="B195" s="39">
        <v>4664653.03</v>
      </c>
      <c r="C195" s="39">
        <v>85006.24</v>
      </c>
      <c r="D195" s="39">
        <v>0.0</v>
      </c>
      <c r="E195" s="40">
        <f t="shared" si="1"/>
        <v>4749659.27</v>
      </c>
      <c r="F195" s="39">
        <v>3888480.51</v>
      </c>
      <c r="G195" s="39">
        <v>0.0</v>
      </c>
      <c r="H195" s="39">
        <v>0.0</v>
      </c>
      <c r="I195" s="40">
        <f t="shared" si="2"/>
        <v>3888480.51</v>
      </c>
      <c r="J195" s="39">
        <v>219094.61</v>
      </c>
      <c r="K195" s="39">
        <v>675531.74</v>
      </c>
      <c r="L195" s="39">
        <v>0.0</v>
      </c>
      <c r="M195" s="40">
        <f t="shared" si="3"/>
        <v>894626.35</v>
      </c>
      <c r="N195" s="39">
        <v>0.0</v>
      </c>
      <c r="O195" s="39">
        <v>80154.0</v>
      </c>
      <c r="P195" s="39">
        <v>0.0</v>
      </c>
      <c r="Q195" s="40">
        <f t="shared" si="4"/>
        <v>80154</v>
      </c>
    </row>
    <row r="196" ht="15.75" customHeight="1">
      <c r="A196" s="38">
        <v>192.0</v>
      </c>
      <c r="B196" s="41">
        <v>6629092.41</v>
      </c>
      <c r="C196" s="41">
        <v>0.0</v>
      </c>
      <c r="D196" s="41">
        <v>0.0</v>
      </c>
      <c r="E196" s="40">
        <f t="shared" si="1"/>
        <v>6629092.41</v>
      </c>
      <c r="F196" s="41">
        <v>0.0</v>
      </c>
      <c r="G196" s="41">
        <v>0.0</v>
      </c>
      <c r="H196" s="41">
        <v>888061.89</v>
      </c>
      <c r="I196" s="40">
        <f t="shared" si="2"/>
        <v>888061.89</v>
      </c>
      <c r="J196" s="41">
        <v>2045509.48</v>
      </c>
      <c r="K196" s="41">
        <v>298271.53</v>
      </c>
      <c r="L196" s="41">
        <v>0.0</v>
      </c>
      <c r="M196" s="40">
        <f t="shared" si="3"/>
        <v>2343781.01</v>
      </c>
      <c r="N196" s="41">
        <v>0.0</v>
      </c>
      <c r="O196" s="41">
        <v>195733.14</v>
      </c>
      <c r="P196" s="41">
        <v>0.0</v>
      </c>
      <c r="Q196" s="40">
        <f t="shared" si="4"/>
        <v>195733.14</v>
      </c>
    </row>
    <row r="197" ht="15.75" customHeight="1">
      <c r="A197" s="38">
        <v>193.0</v>
      </c>
      <c r="B197" s="39">
        <v>0.0</v>
      </c>
      <c r="C197" s="39">
        <v>521015.0</v>
      </c>
      <c r="D197" s="39">
        <v>0.0</v>
      </c>
      <c r="E197" s="40">
        <f t="shared" si="1"/>
        <v>521015</v>
      </c>
      <c r="F197" s="39">
        <v>5177117.69</v>
      </c>
      <c r="G197" s="39">
        <v>0.0</v>
      </c>
      <c r="H197" s="39">
        <v>0.0</v>
      </c>
      <c r="I197" s="40">
        <f t="shared" si="2"/>
        <v>5177117.69</v>
      </c>
      <c r="J197" s="39">
        <v>0.0</v>
      </c>
      <c r="K197" s="39">
        <v>93464.3</v>
      </c>
      <c r="L197" s="39">
        <v>7091115.7</v>
      </c>
      <c r="M197" s="40">
        <f t="shared" si="3"/>
        <v>7184580</v>
      </c>
      <c r="N197" s="39">
        <v>0.0</v>
      </c>
      <c r="O197" s="39">
        <v>0.0</v>
      </c>
      <c r="P197" s="39">
        <v>0.0</v>
      </c>
      <c r="Q197" s="40">
        <f t="shared" si="4"/>
        <v>0</v>
      </c>
    </row>
    <row r="198" ht="15.75" customHeight="1">
      <c r="A198" s="38">
        <v>194.0</v>
      </c>
      <c r="B198" s="41">
        <v>0.0</v>
      </c>
      <c r="C198" s="41">
        <v>0.0</v>
      </c>
      <c r="D198" s="41">
        <v>0.0</v>
      </c>
      <c r="E198" s="40">
        <f t="shared" si="1"/>
        <v>0</v>
      </c>
      <c r="F198" s="41">
        <v>0.0</v>
      </c>
      <c r="G198" s="41">
        <v>0.0</v>
      </c>
      <c r="H198" s="41">
        <v>0.0</v>
      </c>
      <c r="I198" s="40">
        <f t="shared" si="2"/>
        <v>0</v>
      </c>
      <c r="J198" s="41">
        <v>1868463.1</v>
      </c>
      <c r="K198" s="41">
        <v>208123.97</v>
      </c>
      <c r="L198" s="41">
        <v>0.0</v>
      </c>
      <c r="M198" s="40">
        <f t="shared" si="3"/>
        <v>2076587.07</v>
      </c>
      <c r="N198" s="41">
        <v>0.0</v>
      </c>
      <c r="O198" s="41">
        <v>39169.93</v>
      </c>
      <c r="P198" s="41">
        <v>0.0</v>
      </c>
      <c r="Q198" s="40">
        <f t="shared" si="4"/>
        <v>39169.93</v>
      </c>
    </row>
    <row r="199" ht="15.75" customHeight="1">
      <c r="A199" s="38">
        <v>195.0</v>
      </c>
      <c r="B199" s="39">
        <v>0.0</v>
      </c>
      <c r="C199" s="39">
        <v>0.0</v>
      </c>
      <c r="D199" s="39">
        <v>0.0</v>
      </c>
      <c r="E199" s="40">
        <f t="shared" si="1"/>
        <v>0</v>
      </c>
      <c r="F199" s="39">
        <v>0.0</v>
      </c>
      <c r="G199" s="39">
        <v>162785.78</v>
      </c>
      <c r="H199" s="39">
        <v>2627892.53</v>
      </c>
      <c r="I199" s="40">
        <f t="shared" si="2"/>
        <v>2790678.31</v>
      </c>
      <c r="J199" s="39">
        <v>1667525.59</v>
      </c>
      <c r="K199" s="39">
        <v>109683.39</v>
      </c>
      <c r="L199" s="39">
        <v>0.0</v>
      </c>
      <c r="M199" s="40">
        <f t="shared" si="3"/>
        <v>1777208.98</v>
      </c>
      <c r="N199" s="39">
        <v>0.0</v>
      </c>
      <c r="O199" s="39">
        <v>0.0</v>
      </c>
      <c r="P199" s="39">
        <v>0.0</v>
      </c>
      <c r="Q199" s="40">
        <f t="shared" si="4"/>
        <v>0</v>
      </c>
    </row>
    <row r="200" ht="15.75" customHeight="1">
      <c r="A200" s="38">
        <v>196.0</v>
      </c>
      <c r="B200" s="41">
        <v>1628969.87</v>
      </c>
      <c r="C200" s="41">
        <v>182652.5</v>
      </c>
      <c r="D200" s="41">
        <v>0.0</v>
      </c>
      <c r="E200" s="40">
        <f t="shared" si="1"/>
        <v>1811622.37</v>
      </c>
      <c r="F200" s="41">
        <v>0.0</v>
      </c>
      <c r="G200" s="41">
        <v>0.0</v>
      </c>
      <c r="H200" s="41">
        <v>0.0</v>
      </c>
      <c r="I200" s="40">
        <f t="shared" si="2"/>
        <v>0</v>
      </c>
      <c r="J200" s="41">
        <v>0.0</v>
      </c>
      <c r="K200" s="41">
        <v>0.0</v>
      </c>
      <c r="L200" s="41">
        <v>0.0</v>
      </c>
      <c r="M200" s="40">
        <f t="shared" si="3"/>
        <v>0</v>
      </c>
      <c r="N200" s="41">
        <v>689496.96</v>
      </c>
      <c r="O200" s="41">
        <v>333531.78</v>
      </c>
      <c r="P200" s="41">
        <v>0.0</v>
      </c>
      <c r="Q200" s="40">
        <f t="shared" si="4"/>
        <v>1023028.74</v>
      </c>
    </row>
    <row r="201" ht="15.75" customHeight="1">
      <c r="A201" s="38">
        <v>197.0</v>
      </c>
      <c r="B201" s="39">
        <v>0.0</v>
      </c>
      <c r="C201" s="39">
        <v>666355.38</v>
      </c>
      <c r="D201" s="39">
        <v>1048758.72</v>
      </c>
      <c r="E201" s="40">
        <f t="shared" si="1"/>
        <v>1715114.1</v>
      </c>
      <c r="F201" s="39">
        <v>964151.48</v>
      </c>
      <c r="G201" s="39">
        <v>465604.83</v>
      </c>
      <c r="H201" s="39">
        <v>0.0</v>
      </c>
      <c r="I201" s="40">
        <f t="shared" si="2"/>
        <v>1429756.31</v>
      </c>
      <c r="J201" s="39">
        <v>2840167.55</v>
      </c>
      <c r="K201" s="39">
        <v>332475.93</v>
      </c>
      <c r="L201" s="39">
        <v>0.0</v>
      </c>
      <c r="M201" s="40">
        <f t="shared" si="3"/>
        <v>3172643.48</v>
      </c>
      <c r="N201" s="39">
        <v>0.0</v>
      </c>
      <c r="O201" s="39">
        <v>597427.73</v>
      </c>
      <c r="P201" s="39">
        <v>4632240.88</v>
      </c>
      <c r="Q201" s="40">
        <f t="shared" si="4"/>
        <v>5229668.61</v>
      </c>
    </row>
    <row r="202" ht="15.75" customHeight="1">
      <c r="A202" s="38">
        <v>198.0</v>
      </c>
      <c r="B202" s="41">
        <v>0.0</v>
      </c>
      <c r="C202" s="41">
        <v>550031.3</v>
      </c>
      <c r="D202" s="41">
        <v>0.0</v>
      </c>
      <c r="E202" s="40">
        <f t="shared" si="1"/>
        <v>550031.3</v>
      </c>
      <c r="F202" s="41">
        <v>0.0</v>
      </c>
      <c r="G202" s="41">
        <v>689387.58</v>
      </c>
      <c r="H202" s="41">
        <v>1220595.5</v>
      </c>
      <c r="I202" s="40">
        <f t="shared" si="2"/>
        <v>1909983.08</v>
      </c>
      <c r="J202" s="41">
        <v>3868823.06</v>
      </c>
      <c r="K202" s="41">
        <v>0.0</v>
      </c>
      <c r="L202" s="41">
        <v>1.125906573E7</v>
      </c>
      <c r="M202" s="40">
        <f t="shared" si="3"/>
        <v>15127888.79</v>
      </c>
      <c r="N202" s="41">
        <v>0.0</v>
      </c>
      <c r="O202" s="41">
        <v>0.0</v>
      </c>
      <c r="P202" s="41">
        <v>0.0</v>
      </c>
      <c r="Q202" s="40">
        <f t="shared" si="4"/>
        <v>0</v>
      </c>
    </row>
    <row r="203" ht="15.75" customHeight="1">
      <c r="A203" s="38">
        <v>199.0</v>
      </c>
      <c r="B203" s="39">
        <v>4823082.83</v>
      </c>
      <c r="C203" s="39">
        <v>184181.77</v>
      </c>
      <c r="D203" s="39">
        <v>0.0</v>
      </c>
      <c r="E203" s="40">
        <f t="shared" si="1"/>
        <v>5007264.6</v>
      </c>
      <c r="F203" s="39">
        <v>0.0</v>
      </c>
      <c r="G203" s="39">
        <v>878252.32</v>
      </c>
      <c r="H203" s="39">
        <v>0.0</v>
      </c>
      <c r="I203" s="40">
        <f t="shared" si="2"/>
        <v>878252.32</v>
      </c>
      <c r="J203" s="39">
        <v>0.0</v>
      </c>
      <c r="K203" s="39">
        <v>493674.83</v>
      </c>
      <c r="L203" s="39">
        <v>0.0</v>
      </c>
      <c r="M203" s="40">
        <f t="shared" si="3"/>
        <v>493674.83</v>
      </c>
      <c r="N203" s="39">
        <v>613096.71</v>
      </c>
      <c r="O203" s="39">
        <v>0.0</v>
      </c>
      <c r="P203" s="39">
        <v>0.0</v>
      </c>
      <c r="Q203" s="40">
        <f t="shared" si="4"/>
        <v>613096.71</v>
      </c>
    </row>
    <row r="204" ht="15.75" customHeight="1">
      <c r="A204" s="38">
        <v>200.0</v>
      </c>
      <c r="B204" s="41">
        <v>923132.92</v>
      </c>
      <c r="C204" s="41">
        <v>383046.97</v>
      </c>
      <c r="D204" s="41">
        <v>2.162836082E7</v>
      </c>
      <c r="E204" s="40">
        <f t="shared" si="1"/>
        <v>22934540.71</v>
      </c>
      <c r="F204" s="41">
        <v>0.0</v>
      </c>
      <c r="G204" s="41">
        <v>177438.7</v>
      </c>
      <c r="H204" s="41">
        <v>0.0</v>
      </c>
      <c r="I204" s="40">
        <f t="shared" si="2"/>
        <v>177438.7</v>
      </c>
      <c r="J204" s="41">
        <v>602094.89</v>
      </c>
      <c r="K204" s="41">
        <v>84768.56</v>
      </c>
      <c r="L204" s="41">
        <v>0.0</v>
      </c>
      <c r="M204" s="40">
        <f t="shared" si="3"/>
        <v>686863.45</v>
      </c>
      <c r="N204" s="41">
        <v>0.0</v>
      </c>
      <c r="O204" s="41">
        <v>123261.74</v>
      </c>
      <c r="P204" s="41">
        <v>0.0</v>
      </c>
      <c r="Q204" s="40">
        <f t="shared" si="4"/>
        <v>123261.74</v>
      </c>
    </row>
    <row r="205" ht="15.75" customHeight="1">
      <c r="A205" s="38">
        <v>201.0</v>
      </c>
      <c r="B205" s="39">
        <v>2232843.98</v>
      </c>
      <c r="C205" s="39">
        <v>1162866.75</v>
      </c>
      <c r="D205" s="39">
        <v>0.0</v>
      </c>
      <c r="E205" s="40">
        <f t="shared" si="1"/>
        <v>3395710.73</v>
      </c>
      <c r="F205" s="39">
        <v>0.0</v>
      </c>
      <c r="G205" s="39">
        <v>143914.47</v>
      </c>
      <c r="H205" s="39">
        <v>1.094273418E7</v>
      </c>
      <c r="I205" s="40">
        <f t="shared" si="2"/>
        <v>11086648.65</v>
      </c>
      <c r="J205" s="39">
        <v>0.0</v>
      </c>
      <c r="K205" s="39">
        <v>0.0</v>
      </c>
      <c r="L205" s="39">
        <v>1073618.28</v>
      </c>
      <c r="M205" s="40">
        <f t="shared" si="3"/>
        <v>1073618.28</v>
      </c>
      <c r="N205" s="39">
        <v>0.0</v>
      </c>
      <c r="O205" s="39">
        <v>632146.44</v>
      </c>
      <c r="P205" s="39">
        <v>0.0</v>
      </c>
      <c r="Q205" s="40">
        <f t="shared" si="4"/>
        <v>632146.44</v>
      </c>
    </row>
    <row r="206" ht="15.75" customHeight="1">
      <c r="A206" s="38">
        <v>202.0</v>
      </c>
      <c r="B206" s="41">
        <v>862908.63</v>
      </c>
      <c r="C206" s="41">
        <v>241631.55</v>
      </c>
      <c r="D206" s="41">
        <v>450251.4</v>
      </c>
      <c r="E206" s="40">
        <f t="shared" si="1"/>
        <v>1554791.58</v>
      </c>
      <c r="F206" s="41">
        <v>0.0</v>
      </c>
      <c r="G206" s="41">
        <v>0.0</v>
      </c>
      <c r="H206" s="41">
        <v>2177757.82</v>
      </c>
      <c r="I206" s="40">
        <f t="shared" si="2"/>
        <v>2177757.82</v>
      </c>
      <c r="J206" s="41">
        <v>2264772.38</v>
      </c>
      <c r="K206" s="41">
        <v>0.0</v>
      </c>
      <c r="L206" s="41">
        <v>531338.88</v>
      </c>
      <c r="M206" s="40">
        <f t="shared" si="3"/>
        <v>2796111.26</v>
      </c>
      <c r="N206" s="41">
        <v>2643644.24</v>
      </c>
      <c r="O206" s="41">
        <v>238307.2</v>
      </c>
      <c r="P206" s="41">
        <v>0.0</v>
      </c>
      <c r="Q206" s="40">
        <f t="shared" si="4"/>
        <v>2881951.44</v>
      </c>
    </row>
    <row r="207" ht="15.75" customHeight="1">
      <c r="A207" s="38">
        <v>203.0</v>
      </c>
      <c r="B207" s="39">
        <v>1995997.15</v>
      </c>
      <c r="C207" s="39">
        <v>0.0</v>
      </c>
      <c r="D207" s="39">
        <v>0.0</v>
      </c>
      <c r="E207" s="40">
        <f t="shared" si="1"/>
        <v>1995997.15</v>
      </c>
      <c r="F207" s="39">
        <v>0.0</v>
      </c>
      <c r="G207" s="39">
        <v>0.0</v>
      </c>
      <c r="H207" s="39">
        <v>0.0</v>
      </c>
      <c r="I207" s="40">
        <f t="shared" si="2"/>
        <v>0</v>
      </c>
      <c r="J207" s="39">
        <v>0.0</v>
      </c>
      <c r="K207" s="39">
        <v>95092.86</v>
      </c>
      <c r="L207" s="39">
        <v>0.0</v>
      </c>
      <c r="M207" s="40">
        <f t="shared" si="3"/>
        <v>95092.86</v>
      </c>
      <c r="N207" s="39">
        <v>36791.17</v>
      </c>
      <c r="O207" s="39">
        <v>314674.95</v>
      </c>
      <c r="P207" s="39">
        <v>0.0</v>
      </c>
      <c r="Q207" s="40">
        <f t="shared" si="4"/>
        <v>351466.12</v>
      </c>
    </row>
    <row r="208" ht="15.75" customHeight="1">
      <c r="A208" s="38">
        <v>204.0</v>
      </c>
      <c r="B208" s="41">
        <v>1776894.86</v>
      </c>
      <c r="C208" s="41">
        <v>164637.98</v>
      </c>
      <c r="D208" s="41">
        <v>0.0</v>
      </c>
      <c r="E208" s="40">
        <f t="shared" si="1"/>
        <v>1941532.84</v>
      </c>
      <c r="F208" s="41">
        <v>0.0</v>
      </c>
      <c r="G208" s="41">
        <v>121742.15</v>
      </c>
      <c r="H208" s="41">
        <v>0.0</v>
      </c>
      <c r="I208" s="40">
        <f t="shared" si="2"/>
        <v>121742.15</v>
      </c>
      <c r="J208" s="41">
        <v>0.0</v>
      </c>
      <c r="K208" s="41">
        <v>0.0</v>
      </c>
      <c r="L208" s="41">
        <v>0.0</v>
      </c>
      <c r="M208" s="40">
        <f t="shared" si="3"/>
        <v>0</v>
      </c>
      <c r="N208" s="41">
        <v>1386280.74</v>
      </c>
      <c r="O208" s="41">
        <v>138138.34</v>
      </c>
      <c r="P208" s="41">
        <v>0.0</v>
      </c>
      <c r="Q208" s="40">
        <f t="shared" si="4"/>
        <v>1524419.08</v>
      </c>
    </row>
    <row r="209" ht="15.75" customHeight="1">
      <c r="A209" s="38">
        <v>205.0</v>
      </c>
      <c r="B209" s="39">
        <v>0.0</v>
      </c>
      <c r="C209" s="39">
        <v>0.0</v>
      </c>
      <c r="D209" s="39">
        <v>0.0</v>
      </c>
      <c r="E209" s="40">
        <f t="shared" si="1"/>
        <v>0</v>
      </c>
      <c r="F209" s="39">
        <v>0.0</v>
      </c>
      <c r="G209" s="39">
        <v>0.0</v>
      </c>
      <c r="H209" s="39">
        <v>1.17709678E7</v>
      </c>
      <c r="I209" s="40">
        <f t="shared" si="2"/>
        <v>11770967.8</v>
      </c>
      <c r="J209" s="39">
        <v>0.0</v>
      </c>
      <c r="K209" s="39">
        <v>0.0</v>
      </c>
      <c r="L209" s="39">
        <v>0.0</v>
      </c>
      <c r="M209" s="40">
        <f t="shared" si="3"/>
        <v>0</v>
      </c>
      <c r="N209" s="39">
        <v>0.0</v>
      </c>
      <c r="O209" s="39">
        <v>291449.06</v>
      </c>
      <c r="P209" s="39">
        <v>0.0</v>
      </c>
      <c r="Q209" s="40">
        <f t="shared" si="4"/>
        <v>291449.06</v>
      </c>
    </row>
    <row r="210" ht="15.75" customHeight="1">
      <c r="A210" s="38">
        <v>206.0</v>
      </c>
      <c r="B210" s="41">
        <v>0.0</v>
      </c>
      <c r="C210" s="41">
        <v>830417.39</v>
      </c>
      <c r="D210" s="41">
        <v>3614472.57</v>
      </c>
      <c r="E210" s="40">
        <f t="shared" si="1"/>
        <v>4444889.96</v>
      </c>
      <c r="F210" s="41">
        <v>340071.69</v>
      </c>
      <c r="G210" s="41">
        <v>1504126.3</v>
      </c>
      <c r="H210" s="41">
        <v>0.0</v>
      </c>
      <c r="I210" s="40">
        <f t="shared" si="2"/>
        <v>1844197.99</v>
      </c>
      <c r="J210" s="41">
        <v>767797.44</v>
      </c>
      <c r="K210" s="41">
        <v>0.0</v>
      </c>
      <c r="L210" s="41">
        <v>0.0</v>
      </c>
      <c r="M210" s="40">
        <f t="shared" si="3"/>
        <v>767797.44</v>
      </c>
      <c r="N210" s="41">
        <v>298591.65</v>
      </c>
      <c r="O210" s="41">
        <v>139179.45</v>
      </c>
      <c r="P210" s="41">
        <v>7350384.85</v>
      </c>
      <c r="Q210" s="40">
        <f t="shared" si="4"/>
        <v>7788155.95</v>
      </c>
    </row>
    <row r="211" ht="15.75" customHeight="1">
      <c r="A211" s="38">
        <v>207.0</v>
      </c>
      <c r="B211" s="39">
        <v>0.0</v>
      </c>
      <c r="C211" s="39">
        <v>610564.94</v>
      </c>
      <c r="D211" s="39">
        <v>0.0</v>
      </c>
      <c r="E211" s="40">
        <f t="shared" si="1"/>
        <v>610564.94</v>
      </c>
      <c r="F211" s="39">
        <v>0.0</v>
      </c>
      <c r="G211" s="39">
        <v>0.0</v>
      </c>
      <c r="H211" s="39">
        <v>3232325.61</v>
      </c>
      <c r="I211" s="40">
        <f t="shared" si="2"/>
        <v>3232325.61</v>
      </c>
      <c r="J211" s="39">
        <v>0.0</v>
      </c>
      <c r="K211" s="39">
        <v>91962.63</v>
      </c>
      <c r="L211" s="39">
        <v>0.0</v>
      </c>
      <c r="M211" s="40">
        <f t="shared" si="3"/>
        <v>91962.63</v>
      </c>
      <c r="N211" s="39">
        <v>1.059777512E7</v>
      </c>
      <c r="O211" s="39">
        <v>21531.08</v>
      </c>
      <c r="P211" s="39">
        <v>0.0</v>
      </c>
      <c r="Q211" s="40">
        <f t="shared" si="4"/>
        <v>10619306.2</v>
      </c>
    </row>
    <row r="212" ht="15.75" customHeight="1">
      <c r="A212" s="38">
        <v>208.0</v>
      </c>
      <c r="B212" s="41">
        <v>0.0</v>
      </c>
      <c r="C212" s="41">
        <v>292625.14</v>
      </c>
      <c r="D212" s="41">
        <v>0.0</v>
      </c>
      <c r="E212" s="40">
        <f t="shared" si="1"/>
        <v>292625.14</v>
      </c>
      <c r="F212" s="41">
        <v>0.0</v>
      </c>
      <c r="G212" s="41">
        <v>0.0</v>
      </c>
      <c r="H212" s="41">
        <v>0.0</v>
      </c>
      <c r="I212" s="40">
        <f t="shared" si="2"/>
        <v>0</v>
      </c>
      <c r="J212" s="41">
        <v>390799.15</v>
      </c>
      <c r="K212" s="41">
        <v>321918.89</v>
      </c>
      <c r="L212" s="41">
        <v>0.0</v>
      </c>
      <c r="M212" s="40">
        <f t="shared" si="3"/>
        <v>712718.04</v>
      </c>
      <c r="N212" s="41">
        <v>0.0</v>
      </c>
      <c r="O212" s="41">
        <v>0.0</v>
      </c>
      <c r="P212" s="41">
        <v>0.0</v>
      </c>
      <c r="Q212" s="40">
        <f t="shared" si="4"/>
        <v>0</v>
      </c>
    </row>
    <row r="213" ht="15.75" customHeight="1">
      <c r="A213" s="38">
        <v>209.0</v>
      </c>
      <c r="B213" s="39">
        <v>1276509.65</v>
      </c>
      <c r="C213" s="39">
        <v>0.0</v>
      </c>
      <c r="D213" s="39">
        <v>0.0</v>
      </c>
      <c r="E213" s="40">
        <f t="shared" si="1"/>
        <v>1276509.65</v>
      </c>
      <c r="F213" s="39">
        <v>244821.43</v>
      </c>
      <c r="G213" s="39">
        <v>0.0</v>
      </c>
      <c r="H213" s="39">
        <v>0.0</v>
      </c>
      <c r="I213" s="40">
        <f t="shared" si="2"/>
        <v>244821.43</v>
      </c>
      <c r="J213" s="39">
        <v>0.0</v>
      </c>
      <c r="K213" s="39">
        <v>416360.15</v>
      </c>
      <c r="L213" s="39">
        <v>0.0</v>
      </c>
      <c r="M213" s="40">
        <f t="shared" si="3"/>
        <v>416360.15</v>
      </c>
      <c r="N213" s="39">
        <v>4102970.66</v>
      </c>
      <c r="O213" s="39">
        <v>0.0</v>
      </c>
      <c r="P213" s="39">
        <v>0.0</v>
      </c>
      <c r="Q213" s="40">
        <f t="shared" si="4"/>
        <v>4102970.66</v>
      </c>
    </row>
    <row r="214" ht="15.75" customHeight="1">
      <c r="A214" s="38">
        <v>210.0</v>
      </c>
      <c r="B214" s="41">
        <v>0.0</v>
      </c>
      <c r="C214" s="41">
        <v>150923.99</v>
      </c>
      <c r="D214" s="41">
        <v>0.0</v>
      </c>
      <c r="E214" s="40">
        <f t="shared" si="1"/>
        <v>150923.99</v>
      </c>
      <c r="F214" s="41">
        <v>0.0</v>
      </c>
      <c r="G214" s="41">
        <v>462488.42</v>
      </c>
      <c r="H214" s="41">
        <v>0.0</v>
      </c>
      <c r="I214" s="40">
        <f t="shared" si="2"/>
        <v>462488.42</v>
      </c>
      <c r="J214" s="41">
        <v>42098.08</v>
      </c>
      <c r="K214" s="41">
        <v>0.0</v>
      </c>
      <c r="L214" s="41">
        <v>0.0</v>
      </c>
      <c r="M214" s="40">
        <f t="shared" si="3"/>
        <v>42098.08</v>
      </c>
      <c r="N214" s="41">
        <v>0.0</v>
      </c>
      <c r="O214" s="41">
        <v>191356.85</v>
      </c>
      <c r="P214" s="41">
        <v>0.0</v>
      </c>
      <c r="Q214" s="40">
        <f t="shared" si="4"/>
        <v>191356.85</v>
      </c>
    </row>
    <row r="215" ht="15.75" customHeight="1">
      <c r="A215" s="38">
        <v>211.0</v>
      </c>
      <c r="B215" s="39">
        <v>8469739.67</v>
      </c>
      <c r="C215" s="39">
        <v>0.0</v>
      </c>
      <c r="D215" s="39">
        <v>684652.72</v>
      </c>
      <c r="E215" s="40">
        <f t="shared" si="1"/>
        <v>9154392.39</v>
      </c>
      <c r="F215" s="39">
        <v>604141.42</v>
      </c>
      <c r="G215" s="39">
        <v>0.0</v>
      </c>
      <c r="H215" s="39">
        <v>5391567.23</v>
      </c>
      <c r="I215" s="40">
        <f t="shared" si="2"/>
        <v>5995708.65</v>
      </c>
      <c r="J215" s="39">
        <v>2187154.23</v>
      </c>
      <c r="K215" s="39">
        <v>488049.65</v>
      </c>
      <c r="L215" s="39">
        <v>0.0</v>
      </c>
      <c r="M215" s="40">
        <f t="shared" si="3"/>
        <v>2675203.88</v>
      </c>
      <c r="N215" s="39">
        <v>0.0</v>
      </c>
      <c r="O215" s="39">
        <v>444715.22</v>
      </c>
      <c r="P215" s="39">
        <v>0.0</v>
      </c>
      <c r="Q215" s="40">
        <f t="shared" si="4"/>
        <v>444715.22</v>
      </c>
    </row>
    <row r="216" ht="15.75" customHeight="1">
      <c r="A216" s="38">
        <v>212.0</v>
      </c>
      <c r="B216" s="41">
        <v>0.0</v>
      </c>
      <c r="C216" s="41">
        <v>0.0</v>
      </c>
      <c r="D216" s="41">
        <v>0.0</v>
      </c>
      <c r="E216" s="40">
        <f t="shared" si="1"/>
        <v>0</v>
      </c>
      <c r="F216" s="41">
        <v>411607.81</v>
      </c>
      <c r="G216" s="41">
        <v>284262.63</v>
      </c>
      <c r="H216" s="41">
        <v>0.0</v>
      </c>
      <c r="I216" s="40">
        <f t="shared" si="2"/>
        <v>695870.44</v>
      </c>
      <c r="J216" s="41">
        <v>0.0</v>
      </c>
      <c r="K216" s="41">
        <v>508645.12</v>
      </c>
      <c r="L216" s="41">
        <v>0.0</v>
      </c>
      <c r="M216" s="40">
        <f t="shared" si="3"/>
        <v>508645.12</v>
      </c>
      <c r="N216" s="41">
        <v>0.0</v>
      </c>
      <c r="O216" s="41">
        <v>121296.63</v>
      </c>
      <c r="P216" s="41">
        <v>0.0</v>
      </c>
      <c r="Q216" s="40">
        <f t="shared" si="4"/>
        <v>121296.63</v>
      </c>
    </row>
    <row r="217" ht="15.75" customHeight="1">
      <c r="A217" s="38">
        <v>213.0</v>
      </c>
      <c r="B217" s="39">
        <v>0.0</v>
      </c>
      <c r="C217" s="39">
        <v>337889.16</v>
      </c>
      <c r="D217" s="39">
        <v>0.0</v>
      </c>
      <c r="E217" s="40">
        <f t="shared" si="1"/>
        <v>337889.16</v>
      </c>
      <c r="F217" s="39">
        <v>0.0</v>
      </c>
      <c r="G217" s="39">
        <v>186724.0</v>
      </c>
      <c r="H217" s="39">
        <v>0.0</v>
      </c>
      <c r="I217" s="40">
        <f t="shared" si="2"/>
        <v>186724</v>
      </c>
      <c r="J217" s="39">
        <v>0.0</v>
      </c>
      <c r="K217" s="39">
        <v>291405.71</v>
      </c>
      <c r="L217" s="39">
        <v>0.0</v>
      </c>
      <c r="M217" s="40">
        <f t="shared" si="3"/>
        <v>291405.71</v>
      </c>
      <c r="N217" s="39">
        <v>3480317.25</v>
      </c>
      <c r="O217" s="39">
        <v>0.0</v>
      </c>
      <c r="P217" s="39">
        <v>3005262.41</v>
      </c>
      <c r="Q217" s="40">
        <f t="shared" si="4"/>
        <v>6485579.66</v>
      </c>
    </row>
    <row r="218" ht="15.75" customHeight="1">
      <c r="A218" s="38">
        <v>214.0</v>
      </c>
      <c r="B218" s="41">
        <v>0.0</v>
      </c>
      <c r="C218" s="41">
        <v>310642.7</v>
      </c>
      <c r="D218" s="41">
        <v>7208551.18</v>
      </c>
      <c r="E218" s="40">
        <f t="shared" si="1"/>
        <v>7519193.88</v>
      </c>
      <c r="F218" s="41">
        <v>0.0</v>
      </c>
      <c r="G218" s="41">
        <v>0.0</v>
      </c>
      <c r="H218" s="41">
        <v>0.0</v>
      </c>
      <c r="I218" s="40">
        <f t="shared" si="2"/>
        <v>0</v>
      </c>
      <c r="J218" s="41">
        <v>1660174.77</v>
      </c>
      <c r="K218" s="41">
        <v>72049.12</v>
      </c>
      <c r="L218" s="41">
        <v>0.0</v>
      </c>
      <c r="M218" s="40">
        <f t="shared" si="3"/>
        <v>1732223.89</v>
      </c>
      <c r="N218" s="41">
        <v>0.0</v>
      </c>
      <c r="O218" s="41">
        <v>385212.95</v>
      </c>
      <c r="P218" s="41">
        <v>0.0</v>
      </c>
      <c r="Q218" s="40">
        <f t="shared" si="4"/>
        <v>385212.95</v>
      </c>
    </row>
    <row r="219" ht="15.75" customHeight="1">
      <c r="A219" s="38">
        <v>215.0</v>
      </c>
      <c r="B219" s="39">
        <v>854451.63</v>
      </c>
      <c r="C219" s="39">
        <v>637216.81</v>
      </c>
      <c r="D219" s="39">
        <v>0.0</v>
      </c>
      <c r="E219" s="40">
        <f t="shared" si="1"/>
        <v>1491668.44</v>
      </c>
      <c r="F219" s="39">
        <v>0.0</v>
      </c>
      <c r="G219" s="39">
        <v>393943.26</v>
      </c>
      <c r="H219" s="39">
        <v>0.0</v>
      </c>
      <c r="I219" s="40">
        <f t="shared" si="2"/>
        <v>393943.26</v>
      </c>
      <c r="J219" s="39">
        <v>0.0</v>
      </c>
      <c r="K219" s="39">
        <v>0.0</v>
      </c>
      <c r="L219" s="39">
        <v>582750.27</v>
      </c>
      <c r="M219" s="40">
        <f t="shared" si="3"/>
        <v>582750.27</v>
      </c>
      <c r="N219" s="39">
        <v>0.0</v>
      </c>
      <c r="O219" s="39">
        <v>0.0</v>
      </c>
      <c r="P219" s="39">
        <v>0.0</v>
      </c>
      <c r="Q219" s="40">
        <f t="shared" si="4"/>
        <v>0</v>
      </c>
    </row>
    <row r="220" ht="15.75" customHeight="1">
      <c r="A220" s="38">
        <v>216.0</v>
      </c>
      <c r="B220" s="41">
        <v>1368980.85</v>
      </c>
      <c r="C220" s="41">
        <v>0.0</v>
      </c>
      <c r="D220" s="41">
        <v>1583701.12</v>
      </c>
      <c r="E220" s="40">
        <f t="shared" si="1"/>
        <v>2952681.97</v>
      </c>
      <c r="F220" s="41">
        <v>0.0</v>
      </c>
      <c r="G220" s="41">
        <v>0.0</v>
      </c>
      <c r="H220" s="41">
        <v>0.0</v>
      </c>
      <c r="I220" s="40">
        <f t="shared" si="2"/>
        <v>0</v>
      </c>
      <c r="J220" s="41">
        <v>0.0</v>
      </c>
      <c r="K220" s="41">
        <v>0.0</v>
      </c>
      <c r="L220" s="41">
        <v>0.0</v>
      </c>
      <c r="M220" s="40">
        <f t="shared" si="3"/>
        <v>0</v>
      </c>
      <c r="N220" s="41">
        <v>0.0</v>
      </c>
      <c r="O220" s="41">
        <v>0.0</v>
      </c>
      <c r="P220" s="41">
        <v>5032192.98</v>
      </c>
      <c r="Q220" s="40">
        <f t="shared" si="4"/>
        <v>5032192.98</v>
      </c>
    </row>
    <row r="221" ht="15.75" customHeight="1">
      <c r="A221" s="38">
        <v>217.0</v>
      </c>
      <c r="B221" s="39">
        <v>0.0</v>
      </c>
      <c r="C221" s="39">
        <v>458813.19</v>
      </c>
      <c r="D221" s="39">
        <v>2953345.61</v>
      </c>
      <c r="E221" s="40">
        <f t="shared" si="1"/>
        <v>3412158.8</v>
      </c>
      <c r="F221" s="39">
        <v>128362.66</v>
      </c>
      <c r="G221" s="39">
        <v>0.0</v>
      </c>
      <c r="H221" s="39">
        <v>0.0</v>
      </c>
      <c r="I221" s="40">
        <f t="shared" si="2"/>
        <v>128362.66</v>
      </c>
      <c r="J221" s="39">
        <v>577774.86</v>
      </c>
      <c r="K221" s="39">
        <v>490614.04</v>
      </c>
      <c r="L221" s="39">
        <v>0.0</v>
      </c>
      <c r="M221" s="40">
        <f t="shared" si="3"/>
        <v>1068388.9</v>
      </c>
      <c r="N221" s="39">
        <v>0.0</v>
      </c>
      <c r="O221" s="39">
        <v>80506.07</v>
      </c>
      <c r="P221" s="39">
        <v>677361.03</v>
      </c>
      <c r="Q221" s="40">
        <f t="shared" si="4"/>
        <v>757867.1</v>
      </c>
    </row>
    <row r="222" ht="15.75" customHeight="1">
      <c r="A222" s="38">
        <v>218.0</v>
      </c>
      <c r="B222" s="41">
        <v>1347162.03</v>
      </c>
      <c r="C222" s="41">
        <v>0.0</v>
      </c>
      <c r="D222" s="41">
        <v>0.0</v>
      </c>
      <c r="E222" s="40">
        <f t="shared" si="1"/>
        <v>1347162.03</v>
      </c>
      <c r="F222" s="41">
        <v>0.0</v>
      </c>
      <c r="G222" s="41">
        <v>303526.96</v>
      </c>
      <c r="H222" s="41">
        <v>0.0</v>
      </c>
      <c r="I222" s="40">
        <f t="shared" si="2"/>
        <v>303526.96</v>
      </c>
      <c r="J222" s="41">
        <v>0.0</v>
      </c>
      <c r="K222" s="41">
        <v>0.0</v>
      </c>
      <c r="L222" s="41">
        <v>1717286.43</v>
      </c>
      <c r="M222" s="40">
        <f t="shared" si="3"/>
        <v>1717286.43</v>
      </c>
      <c r="N222" s="41">
        <v>0.0</v>
      </c>
      <c r="O222" s="41">
        <v>287470.3</v>
      </c>
      <c r="P222" s="41">
        <v>0.0</v>
      </c>
      <c r="Q222" s="40">
        <f t="shared" si="4"/>
        <v>287470.3</v>
      </c>
    </row>
    <row r="223" ht="15.75" customHeight="1">
      <c r="A223" s="38">
        <v>219.0</v>
      </c>
      <c r="B223" s="39">
        <v>0.0</v>
      </c>
      <c r="C223" s="39">
        <v>0.0</v>
      </c>
      <c r="D223" s="39">
        <v>0.0</v>
      </c>
      <c r="E223" s="40">
        <f t="shared" si="1"/>
        <v>0</v>
      </c>
      <c r="F223" s="39">
        <v>0.0</v>
      </c>
      <c r="G223" s="39">
        <v>487637.77</v>
      </c>
      <c r="H223" s="39">
        <v>0.0</v>
      </c>
      <c r="I223" s="40">
        <f t="shared" si="2"/>
        <v>487637.77</v>
      </c>
      <c r="J223" s="39">
        <v>202352.93</v>
      </c>
      <c r="K223" s="39">
        <v>0.0</v>
      </c>
      <c r="L223" s="39">
        <v>0.0</v>
      </c>
      <c r="M223" s="40">
        <f t="shared" si="3"/>
        <v>202352.93</v>
      </c>
      <c r="N223" s="39">
        <v>0.0</v>
      </c>
      <c r="O223" s="39">
        <v>453786.87</v>
      </c>
      <c r="P223" s="39">
        <v>747375.22</v>
      </c>
      <c r="Q223" s="40">
        <f t="shared" si="4"/>
        <v>1201162.09</v>
      </c>
    </row>
    <row r="224" ht="15.75" customHeight="1">
      <c r="A224" s="38">
        <v>220.0</v>
      </c>
      <c r="B224" s="41">
        <v>0.0</v>
      </c>
      <c r="C224" s="41">
        <v>1386714.8</v>
      </c>
      <c r="D224" s="41">
        <v>0.0</v>
      </c>
      <c r="E224" s="40">
        <f t="shared" si="1"/>
        <v>1386714.8</v>
      </c>
      <c r="F224" s="41">
        <v>487340.64</v>
      </c>
      <c r="G224" s="41">
        <v>103889.6</v>
      </c>
      <c r="H224" s="41">
        <v>0.0</v>
      </c>
      <c r="I224" s="40">
        <f t="shared" si="2"/>
        <v>591230.24</v>
      </c>
      <c r="J224" s="41">
        <v>703057.0</v>
      </c>
      <c r="K224" s="41">
        <v>791780.53</v>
      </c>
      <c r="L224" s="41">
        <v>0.0</v>
      </c>
      <c r="M224" s="40">
        <f t="shared" si="3"/>
        <v>1494837.53</v>
      </c>
      <c r="N224" s="41">
        <v>0.0</v>
      </c>
      <c r="O224" s="41">
        <v>0.0</v>
      </c>
      <c r="P224" s="41">
        <v>0.0</v>
      </c>
      <c r="Q224" s="40">
        <f t="shared" si="4"/>
        <v>0</v>
      </c>
    </row>
    <row r="225" ht="15.75" customHeight="1">
      <c r="A225" s="38">
        <v>221.0</v>
      </c>
      <c r="B225" s="39">
        <v>0.0</v>
      </c>
      <c r="C225" s="39">
        <v>378763.01</v>
      </c>
      <c r="D225" s="39">
        <v>0.0</v>
      </c>
      <c r="E225" s="40">
        <f t="shared" si="1"/>
        <v>378763.01</v>
      </c>
      <c r="F225" s="39">
        <v>0.0</v>
      </c>
      <c r="G225" s="39">
        <v>0.0</v>
      </c>
      <c r="H225" s="39">
        <v>0.0</v>
      </c>
      <c r="I225" s="40">
        <f t="shared" si="2"/>
        <v>0</v>
      </c>
      <c r="J225" s="39">
        <v>0.0</v>
      </c>
      <c r="K225" s="39">
        <v>0.0</v>
      </c>
      <c r="L225" s="39">
        <v>1288895.64</v>
      </c>
      <c r="M225" s="40">
        <f t="shared" si="3"/>
        <v>1288895.64</v>
      </c>
      <c r="N225" s="39">
        <v>0.0</v>
      </c>
      <c r="O225" s="39">
        <v>0.0</v>
      </c>
      <c r="P225" s="39">
        <v>0.0</v>
      </c>
      <c r="Q225" s="40">
        <f t="shared" si="4"/>
        <v>0</v>
      </c>
    </row>
    <row r="226" ht="15.75" customHeight="1">
      <c r="A226" s="38">
        <v>222.0</v>
      </c>
      <c r="B226" s="41">
        <v>0.0</v>
      </c>
      <c r="C226" s="41">
        <v>85486.1</v>
      </c>
      <c r="D226" s="41">
        <v>0.0</v>
      </c>
      <c r="E226" s="40">
        <f t="shared" si="1"/>
        <v>85486.1</v>
      </c>
      <c r="F226" s="41">
        <v>0.0</v>
      </c>
      <c r="G226" s="41">
        <v>0.0</v>
      </c>
      <c r="H226" s="41">
        <v>0.0</v>
      </c>
      <c r="I226" s="40">
        <f t="shared" si="2"/>
        <v>0</v>
      </c>
      <c r="J226" s="41">
        <v>771943.33</v>
      </c>
      <c r="K226" s="41">
        <v>0.0</v>
      </c>
      <c r="L226" s="41">
        <v>798094.55</v>
      </c>
      <c r="M226" s="40">
        <f t="shared" si="3"/>
        <v>1570037.88</v>
      </c>
      <c r="N226" s="41">
        <v>1024327.71</v>
      </c>
      <c r="O226" s="41">
        <v>0.0</v>
      </c>
      <c r="P226" s="41">
        <v>0.0</v>
      </c>
      <c r="Q226" s="40">
        <f t="shared" si="4"/>
        <v>1024327.71</v>
      </c>
    </row>
    <row r="227" ht="15.75" customHeight="1">
      <c r="A227" s="38">
        <v>223.0</v>
      </c>
      <c r="B227" s="39">
        <v>3564089.72</v>
      </c>
      <c r="C227" s="39">
        <v>534613.31</v>
      </c>
      <c r="D227" s="39">
        <v>2101548.16</v>
      </c>
      <c r="E227" s="40">
        <f t="shared" si="1"/>
        <v>6200251.19</v>
      </c>
      <c r="F227" s="39">
        <v>2034761.69</v>
      </c>
      <c r="G227" s="39">
        <v>0.0</v>
      </c>
      <c r="H227" s="39">
        <v>0.0</v>
      </c>
      <c r="I227" s="40">
        <f t="shared" si="2"/>
        <v>2034761.69</v>
      </c>
      <c r="J227" s="39">
        <v>0.0</v>
      </c>
      <c r="K227" s="39">
        <v>0.0</v>
      </c>
      <c r="L227" s="39">
        <v>0.0</v>
      </c>
      <c r="M227" s="40">
        <f t="shared" si="3"/>
        <v>0</v>
      </c>
      <c r="N227" s="39">
        <v>0.0</v>
      </c>
      <c r="O227" s="39">
        <v>865122.71</v>
      </c>
      <c r="P227" s="39">
        <v>0.0</v>
      </c>
      <c r="Q227" s="40">
        <f t="shared" si="4"/>
        <v>865122.71</v>
      </c>
    </row>
    <row r="228" ht="15.75" customHeight="1">
      <c r="A228" s="38">
        <v>224.0</v>
      </c>
      <c r="B228" s="41">
        <v>0.0</v>
      </c>
      <c r="C228" s="41">
        <v>0.0</v>
      </c>
      <c r="D228" s="41">
        <v>732040.33</v>
      </c>
      <c r="E228" s="40">
        <f t="shared" si="1"/>
        <v>732040.33</v>
      </c>
      <c r="F228" s="41">
        <v>0.0</v>
      </c>
      <c r="G228" s="41">
        <v>222230.26</v>
      </c>
      <c r="H228" s="41">
        <v>0.0</v>
      </c>
      <c r="I228" s="40">
        <f t="shared" si="2"/>
        <v>222230.26</v>
      </c>
      <c r="J228" s="41">
        <v>0.0</v>
      </c>
      <c r="K228" s="41">
        <v>113831.56</v>
      </c>
      <c r="L228" s="41">
        <v>0.0</v>
      </c>
      <c r="M228" s="40">
        <f t="shared" si="3"/>
        <v>113831.56</v>
      </c>
      <c r="N228" s="41">
        <v>0.0</v>
      </c>
      <c r="O228" s="41">
        <v>281906.27</v>
      </c>
      <c r="P228" s="41">
        <v>0.0</v>
      </c>
      <c r="Q228" s="40">
        <f t="shared" si="4"/>
        <v>281906.27</v>
      </c>
    </row>
    <row r="229" ht="15.75" customHeight="1">
      <c r="A229" s="38">
        <v>225.0</v>
      </c>
      <c r="B229" s="39">
        <v>0.0</v>
      </c>
      <c r="C229" s="39">
        <v>551017.24</v>
      </c>
      <c r="D229" s="39">
        <v>0.0</v>
      </c>
      <c r="E229" s="40">
        <f t="shared" si="1"/>
        <v>551017.24</v>
      </c>
      <c r="F229" s="39">
        <v>0.0</v>
      </c>
      <c r="G229" s="39">
        <v>106126.35</v>
      </c>
      <c r="H229" s="39">
        <v>0.0</v>
      </c>
      <c r="I229" s="40">
        <f t="shared" si="2"/>
        <v>106126.35</v>
      </c>
      <c r="J229" s="39">
        <v>0.0</v>
      </c>
      <c r="K229" s="39">
        <v>150299.74</v>
      </c>
      <c r="L229" s="39">
        <v>0.0</v>
      </c>
      <c r="M229" s="40">
        <f t="shared" si="3"/>
        <v>150299.74</v>
      </c>
      <c r="N229" s="39">
        <v>2322950.53</v>
      </c>
      <c r="O229" s="39">
        <v>0.0</v>
      </c>
      <c r="P229" s="39">
        <v>0.0</v>
      </c>
      <c r="Q229" s="40">
        <f t="shared" si="4"/>
        <v>2322950.53</v>
      </c>
    </row>
    <row r="230" ht="15.75" customHeight="1">
      <c r="A230" s="38">
        <v>226.0</v>
      </c>
      <c r="B230" s="41">
        <v>611030.93</v>
      </c>
      <c r="C230" s="41">
        <v>506399.58</v>
      </c>
      <c r="D230" s="41">
        <v>0.0</v>
      </c>
      <c r="E230" s="40">
        <f t="shared" si="1"/>
        <v>1117430.51</v>
      </c>
      <c r="F230" s="41">
        <v>0.0</v>
      </c>
      <c r="G230" s="41">
        <v>0.0</v>
      </c>
      <c r="H230" s="41">
        <v>2782973.46</v>
      </c>
      <c r="I230" s="40">
        <f t="shared" si="2"/>
        <v>2782973.46</v>
      </c>
      <c r="J230" s="41">
        <v>2115766.11</v>
      </c>
      <c r="K230" s="41">
        <v>0.0</v>
      </c>
      <c r="L230" s="41">
        <v>0.0</v>
      </c>
      <c r="M230" s="40">
        <f t="shared" si="3"/>
        <v>2115766.11</v>
      </c>
      <c r="N230" s="41">
        <v>0.0</v>
      </c>
      <c r="O230" s="41">
        <v>0.0</v>
      </c>
      <c r="P230" s="41">
        <v>0.0</v>
      </c>
      <c r="Q230" s="40">
        <f t="shared" si="4"/>
        <v>0</v>
      </c>
    </row>
    <row r="231" ht="15.75" customHeight="1">
      <c r="A231" s="38">
        <v>227.0</v>
      </c>
      <c r="B231" s="39">
        <v>2757509.98</v>
      </c>
      <c r="C231" s="39">
        <v>585051.45</v>
      </c>
      <c r="D231" s="39">
        <v>0.0</v>
      </c>
      <c r="E231" s="40">
        <f t="shared" si="1"/>
        <v>3342561.43</v>
      </c>
      <c r="F231" s="39">
        <v>0.0</v>
      </c>
      <c r="G231" s="39">
        <v>150552.25</v>
      </c>
      <c r="H231" s="39">
        <v>0.0</v>
      </c>
      <c r="I231" s="40">
        <f t="shared" si="2"/>
        <v>150552.25</v>
      </c>
      <c r="J231" s="39">
        <v>0.0</v>
      </c>
      <c r="K231" s="39">
        <v>0.0</v>
      </c>
      <c r="L231" s="39">
        <v>0.0</v>
      </c>
      <c r="M231" s="40">
        <f t="shared" si="3"/>
        <v>0</v>
      </c>
      <c r="N231" s="39">
        <v>0.0</v>
      </c>
      <c r="O231" s="39">
        <v>0.0</v>
      </c>
      <c r="P231" s="39">
        <v>4503428.66</v>
      </c>
      <c r="Q231" s="40">
        <f t="shared" si="4"/>
        <v>4503428.66</v>
      </c>
    </row>
    <row r="232" ht="15.75" customHeight="1">
      <c r="A232" s="38">
        <v>228.0</v>
      </c>
      <c r="B232" s="41">
        <v>0.0</v>
      </c>
      <c r="C232" s="41">
        <v>0.0</v>
      </c>
      <c r="D232" s="41">
        <v>4648177.87</v>
      </c>
      <c r="E232" s="40">
        <f t="shared" si="1"/>
        <v>4648177.87</v>
      </c>
      <c r="F232" s="41">
        <v>0.0</v>
      </c>
      <c r="G232" s="41">
        <v>0.0</v>
      </c>
      <c r="H232" s="41">
        <v>0.0</v>
      </c>
      <c r="I232" s="40">
        <f t="shared" si="2"/>
        <v>0</v>
      </c>
      <c r="J232" s="41">
        <v>0.0</v>
      </c>
      <c r="K232" s="41">
        <v>0.0</v>
      </c>
      <c r="L232" s="41">
        <v>8168896.34</v>
      </c>
      <c r="M232" s="40">
        <f t="shared" si="3"/>
        <v>8168896.34</v>
      </c>
      <c r="N232" s="41">
        <v>260032.58</v>
      </c>
      <c r="O232" s="41">
        <v>329792.98</v>
      </c>
      <c r="P232" s="41">
        <v>0.0</v>
      </c>
      <c r="Q232" s="40">
        <f t="shared" si="4"/>
        <v>589825.56</v>
      </c>
    </row>
    <row r="233" ht="15.75" customHeight="1">
      <c r="A233" s="38">
        <v>229.0</v>
      </c>
      <c r="B233" s="39">
        <v>0.0</v>
      </c>
      <c r="C233" s="39">
        <v>0.0</v>
      </c>
      <c r="D233" s="39">
        <v>2489472.13</v>
      </c>
      <c r="E233" s="40">
        <f t="shared" si="1"/>
        <v>2489472.13</v>
      </c>
      <c r="F233" s="39">
        <v>0.0</v>
      </c>
      <c r="G233" s="39">
        <v>556742.36</v>
      </c>
      <c r="H233" s="39">
        <v>0.0</v>
      </c>
      <c r="I233" s="40">
        <f t="shared" si="2"/>
        <v>556742.36</v>
      </c>
      <c r="J233" s="39">
        <v>0.0</v>
      </c>
      <c r="K233" s="39">
        <v>327785.24</v>
      </c>
      <c r="L233" s="39">
        <v>725658.41</v>
      </c>
      <c r="M233" s="40">
        <f t="shared" si="3"/>
        <v>1053443.65</v>
      </c>
      <c r="N233" s="39">
        <v>0.0</v>
      </c>
      <c r="O233" s="39">
        <v>477110.12</v>
      </c>
      <c r="P233" s="39">
        <v>0.0</v>
      </c>
      <c r="Q233" s="40">
        <f t="shared" si="4"/>
        <v>477110.12</v>
      </c>
    </row>
    <row r="234" ht="15.75" customHeight="1">
      <c r="A234" s="38">
        <v>230.0</v>
      </c>
      <c r="B234" s="41">
        <v>0.0</v>
      </c>
      <c r="C234" s="41">
        <v>824739.93</v>
      </c>
      <c r="D234" s="41">
        <v>0.0</v>
      </c>
      <c r="E234" s="40">
        <f t="shared" si="1"/>
        <v>824739.93</v>
      </c>
      <c r="F234" s="41">
        <v>0.0</v>
      </c>
      <c r="G234" s="41">
        <v>0.0</v>
      </c>
      <c r="H234" s="41">
        <v>0.0</v>
      </c>
      <c r="I234" s="40">
        <f t="shared" si="2"/>
        <v>0</v>
      </c>
      <c r="J234" s="41">
        <v>0.0</v>
      </c>
      <c r="K234" s="41">
        <v>0.0</v>
      </c>
      <c r="L234" s="41">
        <v>0.0</v>
      </c>
      <c r="M234" s="40">
        <f t="shared" si="3"/>
        <v>0</v>
      </c>
      <c r="N234" s="41">
        <v>0.0</v>
      </c>
      <c r="O234" s="41">
        <v>1084864.87</v>
      </c>
      <c r="P234" s="41">
        <v>1.66011378E7</v>
      </c>
      <c r="Q234" s="40">
        <f t="shared" si="4"/>
        <v>17686002.67</v>
      </c>
    </row>
    <row r="235" ht="15.75" customHeight="1">
      <c r="A235" s="38">
        <v>231.0</v>
      </c>
      <c r="B235" s="39">
        <v>0.0</v>
      </c>
      <c r="C235" s="39">
        <v>426565.09</v>
      </c>
      <c r="D235" s="39">
        <v>0.0</v>
      </c>
      <c r="E235" s="40">
        <f t="shared" si="1"/>
        <v>426565.09</v>
      </c>
      <c r="F235" s="39">
        <v>0.0</v>
      </c>
      <c r="G235" s="39">
        <v>392206.04</v>
      </c>
      <c r="H235" s="39">
        <v>0.0</v>
      </c>
      <c r="I235" s="40">
        <f t="shared" si="2"/>
        <v>392206.04</v>
      </c>
      <c r="J235" s="39">
        <v>3355357.37</v>
      </c>
      <c r="K235" s="39">
        <v>0.0</v>
      </c>
      <c r="L235" s="39">
        <v>0.0</v>
      </c>
      <c r="M235" s="40">
        <f t="shared" si="3"/>
        <v>3355357.37</v>
      </c>
      <c r="N235" s="39">
        <v>1.404864336E7</v>
      </c>
      <c r="O235" s="39">
        <v>0.0</v>
      </c>
      <c r="P235" s="39">
        <v>1304245.67</v>
      </c>
      <c r="Q235" s="40">
        <f t="shared" si="4"/>
        <v>15352889.03</v>
      </c>
    </row>
    <row r="236" ht="15.75" customHeight="1">
      <c r="A236" s="38">
        <v>232.0</v>
      </c>
      <c r="B236" s="41">
        <v>510570.36</v>
      </c>
      <c r="C236" s="41">
        <v>136436.73</v>
      </c>
      <c r="D236" s="41">
        <v>0.0</v>
      </c>
      <c r="E236" s="40">
        <f t="shared" si="1"/>
        <v>647007.09</v>
      </c>
      <c r="F236" s="41">
        <v>291726.31</v>
      </c>
      <c r="G236" s="41">
        <v>1214100.3</v>
      </c>
      <c r="H236" s="41">
        <v>0.0</v>
      </c>
      <c r="I236" s="40">
        <f t="shared" si="2"/>
        <v>1505826.61</v>
      </c>
      <c r="J236" s="41">
        <v>0.0</v>
      </c>
      <c r="K236" s="41">
        <v>1026102.56</v>
      </c>
      <c r="L236" s="41">
        <v>0.0</v>
      </c>
      <c r="M236" s="40">
        <f t="shared" si="3"/>
        <v>1026102.56</v>
      </c>
      <c r="N236" s="41">
        <v>0.0</v>
      </c>
      <c r="O236" s="41">
        <v>0.0</v>
      </c>
      <c r="P236" s="41">
        <v>0.0</v>
      </c>
      <c r="Q236" s="40">
        <f t="shared" si="4"/>
        <v>0</v>
      </c>
    </row>
    <row r="237" ht="15.75" customHeight="1">
      <c r="A237" s="38">
        <v>233.0</v>
      </c>
      <c r="B237" s="39">
        <v>0.0</v>
      </c>
      <c r="C237" s="39">
        <v>225412.76</v>
      </c>
      <c r="D237" s="39">
        <v>0.0</v>
      </c>
      <c r="E237" s="40">
        <f t="shared" si="1"/>
        <v>225412.76</v>
      </c>
      <c r="F237" s="39">
        <v>0.0</v>
      </c>
      <c r="G237" s="39">
        <v>0.0</v>
      </c>
      <c r="H237" s="39">
        <v>0.0</v>
      </c>
      <c r="I237" s="40">
        <f t="shared" si="2"/>
        <v>0</v>
      </c>
      <c r="J237" s="39">
        <v>0.0</v>
      </c>
      <c r="K237" s="39">
        <v>373083.15</v>
      </c>
      <c r="L237" s="39">
        <v>0.0</v>
      </c>
      <c r="M237" s="40">
        <f t="shared" si="3"/>
        <v>373083.15</v>
      </c>
      <c r="N237" s="39">
        <v>0.0</v>
      </c>
      <c r="O237" s="39">
        <v>0.0</v>
      </c>
      <c r="P237" s="39">
        <v>0.0</v>
      </c>
      <c r="Q237" s="40">
        <f t="shared" si="4"/>
        <v>0</v>
      </c>
    </row>
    <row r="238" ht="15.75" customHeight="1">
      <c r="A238" s="38">
        <v>234.0</v>
      </c>
      <c r="B238" s="41">
        <v>0.0</v>
      </c>
      <c r="C238" s="41">
        <v>0.0</v>
      </c>
      <c r="D238" s="41">
        <v>0.0</v>
      </c>
      <c r="E238" s="40">
        <f t="shared" si="1"/>
        <v>0</v>
      </c>
      <c r="F238" s="41">
        <v>0.0</v>
      </c>
      <c r="G238" s="41">
        <v>0.0</v>
      </c>
      <c r="H238" s="41">
        <v>2909320.18</v>
      </c>
      <c r="I238" s="40">
        <f t="shared" si="2"/>
        <v>2909320.18</v>
      </c>
      <c r="J238" s="41">
        <v>0.0</v>
      </c>
      <c r="K238" s="41">
        <v>0.0</v>
      </c>
      <c r="L238" s="41">
        <v>0.0</v>
      </c>
      <c r="M238" s="40">
        <f t="shared" si="3"/>
        <v>0</v>
      </c>
      <c r="N238" s="41">
        <v>0.0</v>
      </c>
      <c r="O238" s="41">
        <v>155552.56</v>
      </c>
      <c r="P238" s="41">
        <v>0.0</v>
      </c>
      <c r="Q238" s="40">
        <f t="shared" si="4"/>
        <v>155552.56</v>
      </c>
    </row>
    <row r="239" ht="15.75" customHeight="1">
      <c r="A239" s="38">
        <v>235.0</v>
      </c>
      <c r="B239" s="39">
        <v>0.0</v>
      </c>
      <c r="C239" s="39">
        <v>440261.37</v>
      </c>
      <c r="D239" s="39">
        <v>0.0</v>
      </c>
      <c r="E239" s="40">
        <f t="shared" si="1"/>
        <v>440261.37</v>
      </c>
      <c r="F239" s="39">
        <v>0.0</v>
      </c>
      <c r="G239" s="39">
        <v>0.0</v>
      </c>
      <c r="H239" s="39">
        <v>0.0</v>
      </c>
      <c r="I239" s="40">
        <f t="shared" si="2"/>
        <v>0</v>
      </c>
      <c r="J239" s="39">
        <v>0.0</v>
      </c>
      <c r="K239" s="39">
        <v>0.0</v>
      </c>
      <c r="L239" s="39">
        <v>5100527.38</v>
      </c>
      <c r="M239" s="40">
        <f t="shared" si="3"/>
        <v>5100527.38</v>
      </c>
      <c r="N239" s="39">
        <v>0.0</v>
      </c>
      <c r="O239" s="39">
        <v>971371.94</v>
      </c>
      <c r="P239" s="39">
        <v>0.0</v>
      </c>
      <c r="Q239" s="40">
        <f t="shared" si="4"/>
        <v>971371.94</v>
      </c>
    </row>
    <row r="240" ht="15.75" customHeight="1">
      <c r="A240" s="38">
        <v>236.0</v>
      </c>
      <c r="B240" s="41">
        <v>746470.61</v>
      </c>
      <c r="C240" s="41">
        <v>0.0</v>
      </c>
      <c r="D240" s="41">
        <v>0.0</v>
      </c>
      <c r="E240" s="40">
        <f t="shared" si="1"/>
        <v>746470.61</v>
      </c>
      <c r="F240" s="41">
        <v>0.0</v>
      </c>
      <c r="G240" s="41">
        <v>87932.82</v>
      </c>
      <c r="H240" s="41">
        <v>0.0</v>
      </c>
      <c r="I240" s="40">
        <f t="shared" si="2"/>
        <v>87932.82</v>
      </c>
      <c r="J240" s="41">
        <v>0.0</v>
      </c>
      <c r="K240" s="41">
        <v>205844.57</v>
      </c>
      <c r="L240" s="41">
        <v>2104351.17</v>
      </c>
      <c r="M240" s="40">
        <f t="shared" si="3"/>
        <v>2310195.74</v>
      </c>
      <c r="N240" s="41">
        <v>3388361.4</v>
      </c>
      <c r="O240" s="41">
        <v>0.0</v>
      </c>
      <c r="P240" s="41">
        <v>0.0</v>
      </c>
      <c r="Q240" s="40">
        <f t="shared" si="4"/>
        <v>3388361.4</v>
      </c>
    </row>
    <row r="241" ht="15.75" customHeight="1">
      <c r="A241" s="38">
        <v>237.0</v>
      </c>
      <c r="B241" s="39">
        <v>1528696.43</v>
      </c>
      <c r="C241" s="39">
        <v>926485.54</v>
      </c>
      <c r="D241" s="39">
        <v>0.0</v>
      </c>
      <c r="E241" s="40">
        <f t="shared" si="1"/>
        <v>2455181.97</v>
      </c>
      <c r="F241" s="39">
        <v>7318457.33</v>
      </c>
      <c r="G241" s="39">
        <v>0.0</v>
      </c>
      <c r="H241" s="39">
        <v>0.0</v>
      </c>
      <c r="I241" s="40">
        <f t="shared" si="2"/>
        <v>7318457.33</v>
      </c>
      <c r="J241" s="39">
        <v>2029057.04</v>
      </c>
      <c r="K241" s="39">
        <v>318656.96</v>
      </c>
      <c r="L241" s="39">
        <v>0.0</v>
      </c>
      <c r="M241" s="40">
        <f t="shared" si="3"/>
        <v>2347714</v>
      </c>
      <c r="N241" s="39">
        <v>0.0</v>
      </c>
      <c r="O241" s="39">
        <v>0.0</v>
      </c>
      <c r="P241" s="39">
        <v>0.0</v>
      </c>
      <c r="Q241" s="40">
        <f t="shared" si="4"/>
        <v>0</v>
      </c>
    </row>
    <row r="242" ht="15.75" customHeight="1">
      <c r="A242" s="38">
        <v>238.0</v>
      </c>
      <c r="B242" s="41">
        <v>0.0</v>
      </c>
      <c r="C242" s="41">
        <v>0.0</v>
      </c>
      <c r="D242" s="41">
        <v>0.0</v>
      </c>
      <c r="E242" s="40">
        <f t="shared" si="1"/>
        <v>0</v>
      </c>
      <c r="F242" s="41">
        <v>0.0</v>
      </c>
      <c r="G242" s="41">
        <v>0.0</v>
      </c>
      <c r="H242" s="41">
        <v>0.0</v>
      </c>
      <c r="I242" s="40">
        <f t="shared" si="2"/>
        <v>0</v>
      </c>
      <c r="J242" s="41">
        <v>368743.54</v>
      </c>
      <c r="K242" s="41">
        <v>0.0</v>
      </c>
      <c r="L242" s="41">
        <v>0.0</v>
      </c>
      <c r="M242" s="40">
        <f t="shared" si="3"/>
        <v>368743.54</v>
      </c>
      <c r="N242" s="41">
        <v>1486851.74</v>
      </c>
      <c r="O242" s="41">
        <v>0.0</v>
      </c>
      <c r="P242" s="41">
        <v>2749397.09</v>
      </c>
      <c r="Q242" s="40">
        <f t="shared" si="4"/>
        <v>4236248.83</v>
      </c>
    </row>
    <row r="243" ht="15.75" customHeight="1">
      <c r="A243" s="38">
        <v>239.0</v>
      </c>
      <c r="B243" s="39">
        <v>0.0</v>
      </c>
      <c r="C243" s="39">
        <v>98945.46</v>
      </c>
      <c r="D243" s="39">
        <v>0.0</v>
      </c>
      <c r="E243" s="40">
        <f t="shared" si="1"/>
        <v>98945.46</v>
      </c>
      <c r="F243" s="39">
        <v>0.0</v>
      </c>
      <c r="G243" s="39">
        <v>53255.19</v>
      </c>
      <c r="H243" s="39">
        <v>0.0</v>
      </c>
      <c r="I243" s="40">
        <f t="shared" si="2"/>
        <v>53255.19</v>
      </c>
      <c r="J243" s="39">
        <v>1564344.31</v>
      </c>
      <c r="K243" s="39">
        <v>0.0</v>
      </c>
      <c r="L243" s="39">
        <v>1704314.41</v>
      </c>
      <c r="M243" s="40">
        <f t="shared" si="3"/>
        <v>3268658.72</v>
      </c>
      <c r="N243" s="39">
        <v>0.0</v>
      </c>
      <c r="O243" s="39">
        <v>0.0</v>
      </c>
      <c r="P243" s="39">
        <v>0.0</v>
      </c>
      <c r="Q243" s="40">
        <f t="shared" si="4"/>
        <v>0</v>
      </c>
    </row>
    <row r="244" ht="15.75" customHeight="1">
      <c r="A244" s="38">
        <v>240.0</v>
      </c>
      <c r="B244" s="41">
        <v>1106684.96</v>
      </c>
      <c r="C244" s="41">
        <v>450299.29</v>
      </c>
      <c r="D244" s="41">
        <v>0.0</v>
      </c>
      <c r="E244" s="40">
        <f t="shared" si="1"/>
        <v>1556984.25</v>
      </c>
      <c r="F244" s="41">
        <v>0.0</v>
      </c>
      <c r="G244" s="41">
        <v>0.0</v>
      </c>
      <c r="H244" s="41">
        <v>1.396815149E7</v>
      </c>
      <c r="I244" s="40">
        <f t="shared" si="2"/>
        <v>13968151.49</v>
      </c>
      <c r="J244" s="41">
        <v>0.0</v>
      </c>
      <c r="K244" s="41">
        <v>0.0</v>
      </c>
      <c r="L244" s="41">
        <v>2765598.59</v>
      </c>
      <c r="M244" s="40">
        <f t="shared" si="3"/>
        <v>2765598.59</v>
      </c>
      <c r="N244" s="41">
        <v>0.0</v>
      </c>
      <c r="O244" s="41">
        <v>110807.42</v>
      </c>
      <c r="P244" s="41">
        <v>0.0</v>
      </c>
      <c r="Q244" s="40">
        <f t="shared" si="4"/>
        <v>110807.42</v>
      </c>
    </row>
    <row r="245" ht="15.75" customHeight="1">
      <c r="A245" s="38">
        <v>241.0</v>
      </c>
      <c r="B245" s="39">
        <v>0.0</v>
      </c>
      <c r="C245" s="39">
        <v>123878.81</v>
      </c>
      <c r="D245" s="39">
        <v>0.0</v>
      </c>
      <c r="E245" s="40">
        <f t="shared" si="1"/>
        <v>123878.81</v>
      </c>
      <c r="F245" s="39">
        <v>1421027.83</v>
      </c>
      <c r="G245" s="39">
        <v>116537.5</v>
      </c>
      <c r="H245" s="39">
        <v>0.0</v>
      </c>
      <c r="I245" s="40">
        <f t="shared" si="2"/>
        <v>1537565.33</v>
      </c>
      <c r="J245" s="39">
        <v>0.0</v>
      </c>
      <c r="K245" s="39">
        <v>112267.56</v>
      </c>
      <c r="L245" s="39">
        <v>0.0</v>
      </c>
      <c r="M245" s="40">
        <f t="shared" si="3"/>
        <v>112267.56</v>
      </c>
      <c r="N245" s="39">
        <v>998350.11</v>
      </c>
      <c r="O245" s="39">
        <v>0.0</v>
      </c>
      <c r="P245" s="39">
        <v>0.0</v>
      </c>
      <c r="Q245" s="40">
        <f t="shared" si="4"/>
        <v>998350.11</v>
      </c>
    </row>
    <row r="246" ht="15.75" customHeight="1">
      <c r="A246" s="38">
        <v>242.0</v>
      </c>
      <c r="B246" s="41">
        <v>0.0</v>
      </c>
      <c r="C246" s="41">
        <v>729676.8</v>
      </c>
      <c r="D246" s="41">
        <v>0.0</v>
      </c>
      <c r="E246" s="40">
        <f t="shared" si="1"/>
        <v>729676.8</v>
      </c>
      <c r="F246" s="41">
        <v>0.0</v>
      </c>
      <c r="G246" s="41">
        <v>0.0</v>
      </c>
      <c r="H246" s="41">
        <v>0.0</v>
      </c>
      <c r="I246" s="40">
        <f t="shared" si="2"/>
        <v>0</v>
      </c>
      <c r="J246" s="41">
        <v>0.0</v>
      </c>
      <c r="K246" s="41">
        <v>541991.07</v>
      </c>
      <c r="L246" s="41">
        <v>0.0</v>
      </c>
      <c r="M246" s="40">
        <f t="shared" si="3"/>
        <v>541991.07</v>
      </c>
      <c r="N246" s="41">
        <v>353335.1</v>
      </c>
      <c r="O246" s="41">
        <v>0.0</v>
      </c>
      <c r="P246" s="41">
        <v>0.0</v>
      </c>
      <c r="Q246" s="40">
        <f t="shared" si="4"/>
        <v>353335.1</v>
      </c>
    </row>
    <row r="247" ht="15.75" customHeight="1">
      <c r="A247" s="38">
        <v>243.0</v>
      </c>
      <c r="B247" s="39">
        <v>0.0</v>
      </c>
      <c r="C247" s="39">
        <v>0.0</v>
      </c>
      <c r="D247" s="39">
        <v>0.0</v>
      </c>
      <c r="E247" s="40">
        <f t="shared" si="1"/>
        <v>0</v>
      </c>
      <c r="F247" s="39">
        <v>0.0</v>
      </c>
      <c r="G247" s="39">
        <v>0.0</v>
      </c>
      <c r="H247" s="39">
        <v>0.0</v>
      </c>
      <c r="I247" s="40">
        <f t="shared" si="2"/>
        <v>0</v>
      </c>
      <c r="J247" s="39">
        <v>444078.84</v>
      </c>
      <c r="K247" s="39">
        <v>0.0</v>
      </c>
      <c r="L247" s="39">
        <v>3637831.98</v>
      </c>
      <c r="M247" s="40">
        <f t="shared" si="3"/>
        <v>4081910.82</v>
      </c>
      <c r="N247" s="39">
        <v>1213774.04</v>
      </c>
      <c r="O247" s="39">
        <v>0.0</v>
      </c>
      <c r="P247" s="39">
        <v>0.0</v>
      </c>
      <c r="Q247" s="40">
        <f t="shared" si="4"/>
        <v>1213774.04</v>
      </c>
    </row>
    <row r="248" ht="15.75" customHeight="1">
      <c r="A248" s="38">
        <v>244.0</v>
      </c>
      <c r="B248" s="41">
        <v>218580.49</v>
      </c>
      <c r="C248" s="41">
        <v>606731.42</v>
      </c>
      <c r="D248" s="41">
        <v>0.0</v>
      </c>
      <c r="E248" s="40">
        <f t="shared" si="1"/>
        <v>825311.91</v>
      </c>
      <c r="F248" s="41">
        <v>161390.0</v>
      </c>
      <c r="G248" s="41">
        <v>229842.13</v>
      </c>
      <c r="H248" s="41">
        <v>0.0</v>
      </c>
      <c r="I248" s="40">
        <f t="shared" si="2"/>
        <v>391232.13</v>
      </c>
      <c r="J248" s="41">
        <v>0.0</v>
      </c>
      <c r="K248" s="41">
        <v>0.0</v>
      </c>
      <c r="L248" s="41">
        <v>0.0</v>
      </c>
      <c r="M248" s="40">
        <f t="shared" si="3"/>
        <v>0</v>
      </c>
      <c r="N248" s="41">
        <v>0.0</v>
      </c>
      <c r="O248" s="41">
        <v>0.0</v>
      </c>
      <c r="P248" s="41">
        <v>0.0</v>
      </c>
      <c r="Q248" s="40">
        <f t="shared" si="4"/>
        <v>0</v>
      </c>
    </row>
    <row r="249" ht="15.75" customHeight="1">
      <c r="A249" s="38">
        <v>245.0</v>
      </c>
      <c r="B249" s="39">
        <v>0.0</v>
      </c>
      <c r="C249" s="39">
        <v>0.0</v>
      </c>
      <c r="D249" s="39">
        <v>0.0</v>
      </c>
      <c r="E249" s="40">
        <f t="shared" si="1"/>
        <v>0</v>
      </c>
      <c r="F249" s="39">
        <v>6321127.93</v>
      </c>
      <c r="G249" s="39">
        <v>0.0</v>
      </c>
      <c r="H249" s="39">
        <v>4520175.86</v>
      </c>
      <c r="I249" s="40">
        <f t="shared" si="2"/>
        <v>10841303.79</v>
      </c>
      <c r="J249" s="39">
        <v>841672.98</v>
      </c>
      <c r="K249" s="39">
        <v>700780.33</v>
      </c>
      <c r="L249" s="39">
        <v>1919570.05</v>
      </c>
      <c r="M249" s="40">
        <f t="shared" si="3"/>
        <v>3462023.36</v>
      </c>
      <c r="N249" s="39">
        <v>0.0</v>
      </c>
      <c r="O249" s="39">
        <v>172437.53</v>
      </c>
      <c r="P249" s="39">
        <v>0.0</v>
      </c>
      <c r="Q249" s="40">
        <f t="shared" si="4"/>
        <v>172437.53</v>
      </c>
    </row>
    <row r="250" ht="15.75" customHeight="1">
      <c r="A250" s="38">
        <v>246.0</v>
      </c>
      <c r="B250" s="41">
        <v>0.0</v>
      </c>
      <c r="C250" s="41">
        <v>68214.16</v>
      </c>
      <c r="D250" s="41">
        <v>0.0</v>
      </c>
      <c r="E250" s="40">
        <f t="shared" si="1"/>
        <v>68214.16</v>
      </c>
      <c r="F250" s="41">
        <v>0.0</v>
      </c>
      <c r="G250" s="41">
        <v>0.0</v>
      </c>
      <c r="H250" s="41">
        <v>0.0</v>
      </c>
      <c r="I250" s="40">
        <f t="shared" si="2"/>
        <v>0</v>
      </c>
      <c r="J250" s="41">
        <v>1968806.93</v>
      </c>
      <c r="K250" s="41">
        <v>51210.82</v>
      </c>
      <c r="L250" s="41">
        <v>0.0</v>
      </c>
      <c r="M250" s="40">
        <f t="shared" si="3"/>
        <v>2020017.75</v>
      </c>
      <c r="N250" s="41">
        <v>0.0</v>
      </c>
      <c r="O250" s="41">
        <v>0.0</v>
      </c>
      <c r="P250" s="41">
        <v>4250186.07</v>
      </c>
      <c r="Q250" s="40">
        <f t="shared" si="4"/>
        <v>4250186.07</v>
      </c>
    </row>
    <row r="251" ht="15.75" customHeight="1">
      <c r="A251" s="38">
        <v>247.0</v>
      </c>
      <c r="B251" s="39">
        <v>0.0</v>
      </c>
      <c r="C251" s="39">
        <v>584397.94</v>
      </c>
      <c r="D251" s="39">
        <v>0.0</v>
      </c>
      <c r="E251" s="40">
        <f t="shared" si="1"/>
        <v>584397.94</v>
      </c>
      <c r="F251" s="39">
        <v>0.0</v>
      </c>
      <c r="G251" s="39">
        <v>566005.74</v>
      </c>
      <c r="H251" s="39">
        <v>0.0</v>
      </c>
      <c r="I251" s="40">
        <f t="shared" si="2"/>
        <v>566005.74</v>
      </c>
      <c r="J251" s="39">
        <v>1064086.44</v>
      </c>
      <c r="K251" s="39">
        <v>0.0</v>
      </c>
      <c r="L251" s="39">
        <v>0.0</v>
      </c>
      <c r="M251" s="40">
        <f t="shared" si="3"/>
        <v>1064086.44</v>
      </c>
      <c r="N251" s="39">
        <v>0.0</v>
      </c>
      <c r="O251" s="39">
        <v>114176.74</v>
      </c>
      <c r="P251" s="39">
        <v>0.0</v>
      </c>
      <c r="Q251" s="40">
        <f t="shared" si="4"/>
        <v>114176.74</v>
      </c>
    </row>
    <row r="252" ht="15.75" customHeight="1">
      <c r="A252" s="38">
        <v>248.0</v>
      </c>
      <c r="B252" s="41">
        <v>1708196.82</v>
      </c>
      <c r="C252" s="41">
        <v>0.0</v>
      </c>
      <c r="D252" s="41">
        <v>0.0</v>
      </c>
      <c r="E252" s="40">
        <f t="shared" si="1"/>
        <v>1708196.82</v>
      </c>
      <c r="F252" s="41">
        <v>1226544.85</v>
      </c>
      <c r="G252" s="41">
        <v>0.0</v>
      </c>
      <c r="H252" s="41">
        <v>1.326435383E7</v>
      </c>
      <c r="I252" s="40">
        <f t="shared" si="2"/>
        <v>14490898.68</v>
      </c>
      <c r="J252" s="41">
        <v>0.0</v>
      </c>
      <c r="K252" s="41">
        <v>0.0</v>
      </c>
      <c r="L252" s="41">
        <v>0.0</v>
      </c>
      <c r="M252" s="40">
        <f t="shared" si="3"/>
        <v>0</v>
      </c>
      <c r="N252" s="41">
        <v>0.0</v>
      </c>
      <c r="O252" s="41">
        <v>0.0</v>
      </c>
      <c r="P252" s="41">
        <v>0.0</v>
      </c>
      <c r="Q252" s="40">
        <f t="shared" si="4"/>
        <v>0</v>
      </c>
    </row>
    <row r="253" ht="15.75" customHeight="1">
      <c r="A253" s="38">
        <v>249.0</v>
      </c>
      <c r="B253" s="39">
        <v>1164766.84</v>
      </c>
      <c r="C253" s="39">
        <v>326686.35</v>
      </c>
      <c r="D253" s="39">
        <v>0.0</v>
      </c>
      <c r="E253" s="40">
        <f t="shared" si="1"/>
        <v>1491453.19</v>
      </c>
      <c r="F253" s="39">
        <v>2222931.38</v>
      </c>
      <c r="G253" s="39">
        <v>0.0</v>
      </c>
      <c r="H253" s="39">
        <v>0.0</v>
      </c>
      <c r="I253" s="40">
        <f t="shared" si="2"/>
        <v>2222931.38</v>
      </c>
      <c r="J253" s="39">
        <v>2832904.98</v>
      </c>
      <c r="K253" s="39">
        <v>0.0</v>
      </c>
      <c r="L253" s="39">
        <v>0.0</v>
      </c>
      <c r="M253" s="40">
        <f t="shared" si="3"/>
        <v>2832904.98</v>
      </c>
      <c r="N253" s="39">
        <v>377367.9</v>
      </c>
      <c r="O253" s="39">
        <v>262996.82</v>
      </c>
      <c r="P253" s="39">
        <v>0.0</v>
      </c>
      <c r="Q253" s="40">
        <f t="shared" si="4"/>
        <v>640364.72</v>
      </c>
    </row>
    <row r="254" ht="15.75" customHeight="1">
      <c r="A254" s="38">
        <v>250.0</v>
      </c>
      <c r="B254" s="41">
        <v>0.0</v>
      </c>
      <c r="C254" s="41">
        <v>0.0</v>
      </c>
      <c r="D254" s="41">
        <v>0.0</v>
      </c>
      <c r="E254" s="40">
        <f t="shared" si="1"/>
        <v>0</v>
      </c>
      <c r="F254" s="41">
        <v>840083.94</v>
      </c>
      <c r="G254" s="41">
        <v>0.0</v>
      </c>
      <c r="H254" s="41">
        <v>0.0</v>
      </c>
      <c r="I254" s="40">
        <f t="shared" si="2"/>
        <v>840083.94</v>
      </c>
      <c r="J254" s="41">
        <v>7819807.93</v>
      </c>
      <c r="K254" s="41">
        <v>0.0</v>
      </c>
      <c r="L254" s="41">
        <v>0.0</v>
      </c>
      <c r="M254" s="40">
        <f t="shared" si="3"/>
        <v>7819807.93</v>
      </c>
      <c r="N254" s="41">
        <v>0.0</v>
      </c>
      <c r="O254" s="41">
        <v>0.0</v>
      </c>
      <c r="P254" s="41">
        <v>0.0</v>
      </c>
      <c r="Q254" s="40">
        <f t="shared" si="4"/>
        <v>0</v>
      </c>
    </row>
    <row r="255" ht="15.75" customHeight="1">
      <c r="A255" s="38">
        <v>251.0</v>
      </c>
      <c r="B255" s="39">
        <v>1032733.04</v>
      </c>
      <c r="C255" s="39">
        <v>0.0</v>
      </c>
      <c r="D255" s="39">
        <v>0.0</v>
      </c>
      <c r="E255" s="40">
        <f t="shared" si="1"/>
        <v>1032733.04</v>
      </c>
      <c r="F255" s="39">
        <v>1376399.98</v>
      </c>
      <c r="G255" s="39">
        <v>0.0</v>
      </c>
      <c r="H255" s="39">
        <v>0.0</v>
      </c>
      <c r="I255" s="40">
        <f t="shared" si="2"/>
        <v>1376399.98</v>
      </c>
      <c r="J255" s="39">
        <v>5292892.41</v>
      </c>
      <c r="K255" s="39">
        <v>61326.31</v>
      </c>
      <c r="L255" s="39">
        <v>0.0</v>
      </c>
      <c r="M255" s="40">
        <f t="shared" si="3"/>
        <v>5354218.72</v>
      </c>
      <c r="N255" s="39">
        <v>0.0</v>
      </c>
      <c r="O255" s="39">
        <v>0.0</v>
      </c>
      <c r="P255" s="39">
        <v>0.0</v>
      </c>
      <c r="Q255" s="40">
        <f t="shared" si="4"/>
        <v>0</v>
      </c>
    </row>
    <row r="256" ht="15.75" customHeight="1">
      <c r="A256" s="38">
        <v>252.0</v>
      </c>
      <c r="B256" s="41">
        <v>711072.93</v>
      </c>
      <c r="C256" s="41">
        <v>647348.45</v>
      </c>
      <c r="D256" s="41">
        <v>0.0</v>
      </c>
      <c r="E256" s="40">
        <f t="shared" si="1"/>
        <v>1358421.38</v>
      </c>
      <c r="F256" s="41">
        <v>0.0</v>
      </c>
      <c r="G256" s="41">
        <v>157252.56</v>
      </c>
      <c r="H256" s="41">
        <v>0.0</v>
      </c>
      <c r="I256" s="40">
        <f t="shared" si="2"/>
        <v>157252.56</v>
      </c>
      <c r="J256" s="41">
        <v>1178113.79</v>
      </c>
      <c r="K256" s="41">
        <v>76954.7</v>
      </c>
      <c r="L256" s="41">
        <v>0.0</v>
      </c>
      <c r="M256" s="40">
        <f t="shared" si="3"/>
        <v>1255068.49</v>
      </c>
      <c r="N256" s="41">
        <v>0.0</v>
      </c>
      <c r="O256" s="41">
        <v>0.0</v>
      </c>
      <c r="P256" s="41">
        <v>2862843.69</v>
      </c>
      <c r="Q256" s="40">
        <f t="shared" si="4"/>
        <v>2862843.69</v>
      </c>
    </row>
    <row r="257" ht="15.75" customHeight="1">
      <c r="A257" s="38">
        <v>253.0</v>
      </c>
      <c r="B257" s="39">
        <v>1.259313238E7</v>
      </c>
      <c r="C257" s="39">
        <v>355302.89</v>
      </c>
      <c r="D257" s="39">
        <v>1617740.95</v>
      </c>
      <c r="E257" s="40">
        <f t="shared" si="1"/>
        <v>14566176.22</v>
      </c>
      <c r="F257" s="39">
        <v>0.0</v>
      </c>
      <c r="G257" s="39">
        <v>0.0</v>
      </c>
      <c r="H257" s="39">
        <v>1.220272427E7</v>
      </c>
      <c r="I257" s="40">
        <f t="shared" si="2"/>
        <v>12202724.27</v>
      </c>
      <c r="J257" s="39">
        <v>2207873.71</v>
      </c>
      <c r="K257" s="39">
        <v>0.0</v>
      </c>
      <c r="L257" s="39">
        <v>0.0</v>
      </c>
      <c r="M257" s="40">
        <f t="shared" si="3"/>
        <v>2207873.71</v>
      </c>
      <c r="N257" s="39">
        <v>1685637.77</v>
      </c>
      <c r="O257" s="39">
        <v>0.0</v>
      </c>
      <c r="P257" s="39">
        <v>0.0</v>
      </c>
      <c r="Q257" s="40">
        <f t="shared" si="4"/>
        <v>1685637.77</v>
      </c>
    </row>
    <row r="258" ht="15.75" customHeight="1">
      <c r="A258" s="38">
        <v>254.0</v>
      </c>
      <c r="B258" s="41">
        <v>0.0</v>
      </c>
      <c r="C258" s="41">
        <v>193802.4</v>
      </c>
      <c r="D258" s="41">
        <v>0.0</v>
      </c>
      <c r="E258" s="40">
        <f t="shared" si="1"/>
        <v>193802.4</v>
      </c>
      <c r="F258" s="41">
        <v>0.0</v>
      </c>
      <c r="G258" s="41">
        <v>325115.33</v>
      </c>
      <c r="H258" s="41">
        <v>4478929.63</v>
      </c>
      <c r="I258" s="40">
        <f t="shared" si="2"/>
        <v>4804044.96</v>
      </c>
      <c r="J258" s="41">
        <v>2360642.53</v>
      </c>
      <c r="K258" s="41">
        <v>0.0</v>
      </c>
      <c r="L258" s="41">
        <v>0.0</v>
      </c>
      <c r="M258" s="40">
        <f t="shared" si="3"/>
        <v>2360642.53</v>
      </c>
      <c r="N258" s="41">
        <v>0.0</v>
      </c>
      <c r="O258" s="41">
        <v>0.0</v>
      </c>
      <c r="P258" s="41">
        <v>0.0</v>
      </c>
      <c r="Q258" s="40">
        <f t="shared" si="4"/>
        <v>0</v>
      </c>
    </row>
    <row r="259" ht="15.75" customHeight="1">
      <c r="A259" s="38">
        <v>255.0</v>
      </c>
      <c r="B259" s="39">
        <v>0.0</v>
      </c>
      <c r="C259" s="39">
        <v>115191.41</v>
      </c>
      <c r="D259" s="39">
        <v>0.0</v>
      </c>
      <c r="E259" s="40">
        <f t="shared" si="1"/>
        <v>115191.41</v>
      </c>
      <c r="F259" s="39">
        <v>4518783.75</v>
      </c>
      <c r="G259" s="39">
        <v>160820.63</v>
      </c>
      <c r="H259" s="39">
        <v>0.0</v>
      </c>
      <c r="I259" s="40">
        <f t="shared" si="2"/>
        <v>4679604.38</v>
      </c>
      <c r="J259" s="39">
        <v>0.0</v>
      </c>
      <c r="K259" s="39">
        <v>140747.76</v>
      </c>
      <c r="L259" s="39">
        <v>0.0</v>
      </c>
      <c r="M259" s="40">
        <f t="shared" si="3"/>
        <v>140747.76</v>
      </c>
      <c r="N259" s="39">
        <v>3532786.75</v>
      </c>
      <c r="O259" s="39">
        <v>1510110.03</v>
      </c>
      <c r="P259" s="39">
        <v>1858032.79</v>
      </c>
      <c r="Q259" s="40">
        <f t="shared" si="4"/>
        <v>6900929.57</v>
      </c>
    </row>
    <row r="260" ht="15.75" customHeight="1">
      <c r="A260" s="38">
        <v>256.0</v>
      </c>
      <c r="B260" s="41">
        <v>5833947.98</v>
      </c>
      <c r="C260" s="41">
        <v>731360.06</v>
      </c>
      <c r="D260" s="41">
        <v>0.0</v>
      </c>
      <c r="E260" s="40">
        <f t="shared" si="1"/>
        <v>6565308.04</v>
      </c>
      <c r="F260" s="41">
        <v>0.0</v>
      </c>
      <c r="G260" s="41">
        <v>626402.26</v>
      </c>
      <c r="H260" s="41">
        <v>0.0</v>
      </c>
      <c r="I260" s="40">
        <f t="shared" si="2"/>
        <v>626402.26</v>
      </c>
      <c r="J260" s="41">
        <v>7990496.5</v>
      </c>
      <c r="K260" s="41">
        <v>0.0</v>
      </c>
      <c r="L260" s="41">
        <v>0.0</v>
      </c>
      <c r="M260" s="40">
        <f t="shared" si="3"/>
        <v>7990496.5</v>
      </c>
      <c r="N260" s="41">
        <v>610313.19</v>
      </c>
      <c r="O260" s="41">
        <v>0.0</v>
      </c>
      <c r="P260" s="41">
        <v>4954534.08</v>
      </c>
      <c r="Q260" s="40">
        <f t="shared" si="4"/>
        <v>5564847.27</v>
      </c>
    </row>
    <row r="261" ht="15.75" customHeight="1">
      <c r="A261" s="38">
        <v>257.0</v>
      </c>
      <c r="B261" s="39">
        <v>3325807.84</v>
      </c>
      <c r="C261" s="39">
        <v>254816.36</v>
      </c>
      <c r="D261" s="39">
        <v>0.0</v>
      </c>
      <c r="E261" s="40">
        <f t="shared" si="1"/>
        <v>3580624.2</v>
      </c>
      <c r="F261" s="39">
        <v>177198.21</v>
      </c>
      <c r="G261" s="39">
        <v>183340.47</v>
      </c>
      <c r="H261" s="39">
        <v>573002.19</v>
      </c>
      <c r="I261" s="40">
        <f t="shared" si="2"/>
        <v>933540.87</v>
      </c>
      <c r="J261" s="39">
        <v>0.0</v>
      </c>
      <c r="K261" s="39">
        <v>221525.0</v>
      </c>
      <c r="L261" s="39">
        <v>5819382.53</v>
      </c>
      <c r="M261" s="40">
        <f t="shared" si="3"/>
        <v>6040907.53</v>
      </c>
      <c r="N261" s="39">
        <v>436538.66</v>
      </c>
      <c r="O261" s="39">
        <v>198329.68</v>
      </c>
      <c r="P261" s="39">
        <v>0.0</v>
      </c>
      <c r="Q261" s="40">
        <f t="shared" si="4"/>
        <v>634868.34</v>
      </c>
    </row>
    <row r="262" ht="15.75" customHeight="1">
      <c r="A262" s="38">
        <v>258.0</v>
      </c>
      <c r="B262" s="41">
        <v>1039581.18</v>
      </c>
      <c r="C262" s="41">
        <v>0.0</v>
      </c>
      <c r="D262" s="41">
        <v>0.0</v>
      </c>
      <c r="E262" s="40">
        <f t="shared" si="1"/>
        <v>1039581.18</v>
      </c>
      <c r="F262" s="41">
        <v>1078315.19</v>
      </c>
      <c r="G262" s="41">
        <v>468638.47</v>
      </c>
      <c r="H262" s="41">
        <v>0.0</v>
      </c>
      <c r="I262" s="40">
        <f t="shared" si="2"/>
        <v>1546953.66</v>
      </c>
      <c r="J262" s="41">
        <v>0.0</v>
      </c>
      <c r="K262" s="41">
        <v>0.0</v>
      </c>
      <c r="L262" s="41">
        <v>0.0</v>
      </c>
      <c r="M262" s="40">
        <f t="shared" si="3"/>
        <v>0</v>
      </c>
      <c r="N262" s="41">
        <v>0.0</v>
      </c>
      <c r="O262" s="41">
        <v>0.0</v>
      </c>
      <c r="P262" s="41">
        <v>0.0</v>
      </c>
      <c r="Q262" s="40">
        <f t="shared" si="4"/>
        <v>0</v>
      </c>
    </row>
    <row r="263" ht="15.75" customHeight="1">
      <c r="A263" s="38">
        <v>259.0</v>
      </c>
      <c r="B263" s="39">
        <v>0.0</v>
      </c>
      <c r="C263" s="39">
        <v>0.0</v>
      </c>
      <c r="D263" s="39">
        <v>0.0</v>
      </c>
      <c r="E263" s="40">
        <f t="shared" si="1"/>
        <v>0</v>
      </c>
      <c r="F263" s="39">
        <v>0.0</v>
      </c>
      <c r="G263" s="39">
        <v>0.0</v>
      </c>
      <c r="H263" s="39">
        <v>0.0</v>
      </c>
      <c r="I263" s="40">
        <f t="shared" si="2"/>
        <v>0</v>
      </c>
      <c r="J263" s="39">
        <v>0.0</v>
      </c>
      <c r="K263" s="39">
        <v>374155.3</v>
      </c>
      <c r="L263" s="39">
        <v>0.0</v>
      </c>
      <c r="M263" s="40">
        <f t="shared" si="3"/>
        <v>374155.3</v>
      </c>
      <c r="N263" s="39">
        <v>0.0</v>
      </c>
      <c r="O263" s="39">
        <v>0.0</v>
      </c>
      <c r="P263" s="39">
        <v>0.0</v>
      </c>
      <c r="Q263" s="40">
        <f t="shared" si="4"/>
        <v>0</v>
      </c>
    </row>
    <row r="264" ht="15.75" customHeight="1">
      <c r="A264" s="38">
        <v>260.0</v>
      </c>
      <c r="B264" s="41">
        <v>0.0</v>
      </c>
      <c r="C264" s="41">
        <v>293196.77</v>
      </c>
      <c r="D264" s="41">
        <v>0.0</v>
      </c>
      <c r="E264" s="40">
        <f t="shared" si="1"/>
        <v>293196.77</v>
      </c>
      <c r="F264" s="41">
        <v>0.0</v>
      </c>
      <c r="G264" s="41">
        <v>270296.72</v>
      </c>
      <c r="H264" s="41">
        <v>0.0</v>
      </c>
      <c r="I264" s="40">
        <f t="shared" si="2"/>
        <v>270296.72</v>
      </c>
      <c r="J264" s="41">
        <v>137329.81</v>
      </c>
      <c r="K264" s="41">
        <v>315122.15</v>
      </c>
      <c r="L264" s="41">
        <v>0.0</v>
      </c>
      <c r="M264" s="40">
        <f t="shared" si="3"/>
        <v>452451.96</v>
      </c>
      <c r="N264" s="41">
        <v>0.0</v>
      </c>
      <c r="O264" s="41">
        <v>0.0</v>
      </c>
      <c r="P264" s="41">
        <v>0.0</v>
      </c>
      <c r="Q264" s="40">
        <f t="shared" si="4"/>
        <v>0</v>
      </c>
    </row>
    <row r="265" ht="15.75" customHeight="1">
      <c r="A265" s="38">
        <v>261.0</v>
      </c>
      <c r="B265" s="39">
        <v>1.380379283E7</v>
      </c>
      <c r="C265" s="39">
        <v>311016.04</v>
      </c>
      <c r="D265" s="39">
        <v>4385494.35</v>
      </c>
      <c r="E265" s="40">
        <f t="shared" si="1"/>
        <v>18500303.22</v>
      </c>
      <c r="F265" s="39">
        <v>0.0</v>
      </c>
      <c r="G265" s="39">
        <v>325239.98</v>
      </c>
      <c r="H265" s="39">
        <v>0.0</v>
      </c>
      <c r="I265" s="40">
        <f t="shared" si="2"/>
        <v>325239.98</v>
      </c>
      <c r="J265" s="39">
        <v>0.0</v>
      </c>
      <c r="K265" s="39">
        <v>0.0</v>
      </c>
      <c r="L265" s="39">
        <v>1438691.65</v>
      </c>
      <c r="M265" s="40">
        <f t="shared" si="3"/>
        <v>1438691.65</v>
      </c>
      <c r="N265" s="39">
        <v>120177.55</v>
      </c>
      <c r="O265" s="39">
        <v>0.0</v>
      </c>
      <c r="P265" s="39">
        <v>7471398.28</v>
      </c>
      <c r="Q265" s="40">
        <f t="shared" si="4"/>
        <v>7591575.83</v>
      </c>
    </row>
    <row r="266" ht="15.75" customHeight="1">
      <c r="A266" s="38">
        <v>262.0</v>
      </c>
      <c r="B266" s="41">
        <v>0.0</v>
      </c>
      <c r="C266" s="41">
        <v>0.0</v>
      </c>
      <c r="D266" s="41">
        <v>0.0</v>
      </c>
      <c r="E266" s="40">
        <f t="shared" si="1"/>
        <v>0</v>
      </c>
      <c r="F266" s="41">
        <v>235103.9</v>
      </c>
      <c r="G266" s="41">
        <v>0.0</v>
      </c>
      <c r="H266" s="41">
        <v>0.0</v>
      </c>
      <c r="I266" s="40">
        <f t="shared" si="2"/>
        <v>235103.9</v>
      </c>
      <c r="J266" s="41">
        <v>0.0</v>
      </c>
      <c r="K266" s="41">
        <v>230481.02</v>
      </c>
      <c r="L266" s="41">
        <v>0.0</v>
      </c>
      <c r="M266" s="40">
        <f t="shared" si="3"/>
        <v>230481.02</v>
      </c>
      <c r="N266" s="41">
        <v>0.0</v>
      </c>
      <c r="O266" s="41">
        <v>0.0</v>
      </c>
      <c r="P266" s="41">
        <v>0.0</v>
      </c>
      <c r="Q266" s="40">
        <f t="shared" si="4"/>
        <v>0</v>
      </c>
    </row>
    <row r="267" ht="15.75" customHeight="1">
      <c r="A267" s="38">
        <v>263.0</v>
      </c>
      <c r="B267" s="39">
        <v>0.0</v>
      </c>
      <c r="C267" s="39">
        <v>0.0</v>
      </c>
      <c r="D267" s="39">
        <v>0.0</v>
      </c>
      <c r="E267" s="40">
        <f t="shared" si="1"/>
        <v>0</v>
      </c>
      <c r="F267" s="39">
        <v>0.0</v>
      </c>
      <c r="G267" s="39">
        <v>0.0</v>
      </c>
      <c r="H267" s="39">
        <v>3443245.08</v>
      </c>
      <c r="I267" s="40">
        <f t="shared" si="2"/>
        <v>3443245.08</v>
      </c>
      <c r="J267" s="39">
        <v>3168470.72</v>
      </c>
      <c r="K267" s="39">
        <v>289450.57</v>
      </c>
      <c r="L267" s="39">
        <v>0.0</v>
      </c>
      <c r="M267" s="40">
        <f t="shared" si="3"/>
        <v>3457921.29</v>
      </c>
      <c r="N267" s="39">
        <v>0.0</v>
      </c>
      <c r="O267" s="39">
        <v>385295.59</v>
      </c>
      <c r="P267" s="39">
        <v>1.563486368E7</v>
      </c>
      <c r="Q267" s="40">
        <f t="shared" si="4"/>
        <v>16020159.27</v>
      </c>
    </row>
    <row r="268" ht="15.75" customHeight="1">
      <c r="A268" s="38">
        <v>264.0</v>
      </c>
      <c r="B268" s="41">
        <v>1604740.76</v>
      </c>
      <c r="C268" s="41">
        <v>404637.28</v>
      </c>
      <c r="D268" s="41">
        <v>0.0</v>
      </c>
      <c r="E268" s="40">
        <f t="shared" si="1"/>
        <v>2009378.04</v>
      </c>
      <c r="F268" s="41">
        <v>0.0</v>
      </c>
      <c r="G268" s="41">
        <v>0.0</v>
      </c>
      <c r="H268" s="41">
        <v>0.0</v>
      </c>
      <c r="I268" s="40">
        <f t="shared" si="2"/>
        <v>0</v>
      </c>
      <c r="J268" s="41">
        <v>0.0</v>
      </c>
      <c r="K268" s="41">
        <v>202486.36</v>
      </c>
      <c r="L268" s="41">
        <v>0.0</v>
      </c>
      <c r="M268" s="40">
        <f t="shared" si="3"/>
        <v>202486.36</v>
      </c>
      <c r="N268" s="41">
        <v>3264478.46</v>
      </c>
      <c r="O268" s="41">
        <v>0.0</v>
      </c>
      <c r="P268" s="41">
        <v>0.0</v>
      </c>
      <c r="Q268" s="40">
        <f t="shared" si="4"/>
        <v>3264478.46</v>
      </c>
    </row>
    <row r="269" ht="15.75" customHeight="1">
      <c r="A269" s="38">
        <v>265.0</v>
      </c>
      <c r="B269" s="39">
        <v>0.0</v>
      </c>
      <c r="C269" s="39">
        <v>411892.58</v>
      </c>
      <c r="D269" s="39">
        <v>0.0</v>
      </c>
      <c r="E269" s="40">
        <f t="shared" si="1"/>
        <v>411892.58</v>
      </c>
      <c r="F269" s="39">
        <v>0.0</v>
      </c>
      <c r="G269" s="39">
        <v>373453.48</v>
      </c>
      <c r="H269" s="39">
        <v>2580149.2</v>
      </c>
      <c r="I269" s="40">
        <f t="shared" si="2"/>
        <v>2953602.68</v>
      </c>
      <c r="J269" s="39">
        <v>699106.35</v>
      </c>
      <c r="K269" s="39">
        <v>145739.99</v>
      </c>
      <c r="L269" s="39">
        <v>0.0</v>
      </c>
      <c r="M269" s="40">
        <f t="shared" si="3"/>
        <v>844846.34</v>
      </c>
      <c r="N269" s="39">
        <v>0.0</v>
      </c>
      <c r="O269" s="39">
        <v>0.0</v>
      </c>
      <c r="P269" s="39">
        <v>1486227.53</v>
      </c>
      <c r="Q269" s="40">
        <f t="shared" si="4"/>
        <v>1486227.53</v>
      </c>
    </row>
    <row r="270" ht="15.75" customHeight="1">
      <c r="A270" s="38">
        <v>266.0</v>
      </c>
      <c r="B270" s="41">
        <v>655040.68</v>
      </c>
      <c r="C270" s="41">
        <v>182749.74</v>
      </c>
      <c r="D270" s="41">
        <v>0.0</v>
      </c>
      <c r="E270" s="40">
        <f t="shared" si="1"/>
        <v>837790.42</v>
      </c>
      <c r="F270" s="41">
        <v>0.0</v>
      </c>
      <c r="G270" s="41">
        <v>0.0</v>
      </c>
      <c r="H270" s="41">
        <v>0.0</v>
      </c>
      <c r="I270" s="40">
        <f t="shared" si="2"/>
        <v>0</v>
      </c>
      <c r="J270" s="41">
        <v>0.0</v>
      </c>
      <c r="K270" s="41">
        <v>0.0</v>
      </c>
      <c r="L270" s="41">
        <v>0.0</v>
      </c>
      <c r="M270" s="40">
        <f t="shared" si="3"/>
        <v>0</v>
      </c>
      <c r="N270" s="41">
        <v>2355593.68</v>
      </c>
      <c r="O270" s="41">
        <v>285717.42</v>
      </c>
      <c r="P270" s="41">
        <v>0.0</v>
      </c>
      <c r="Q270" s="40">
        <f t="shared" si="4"/>
        <v>2641311.1</v>
      </c>
    </row>
    <row r="271" ht="15.75" customHeight="1">
      <c r="A271" s="38">
        <v>267.0</v>
      </c>
      <c r="B271" s="39">
        <v>3546748.31</v>
      </c>
      <c r="C271" s="39">
        <v>456908.95</v>
      </c>
      <c r="D271" s="39">
        <v>0.0</v>
      </c>
      <c r="E271" s="40">
        <f t="shared" si="1"/>
        <v>4003657.26</v>
      </c>
      <c r="F271" s="39">
        <v>3700713.31</v>
      </c>
      <c r="G271" s="39">
        <v>202107.63</v>
      </c>
      <c r="H271" s="39">
        <v>0.0</v>
      </c>
      <c r="I271" s="40">
        <f t="shared" si="2"/>
        <v>3902820.94</v>
      </c>
      <c r="J271" s="39">
        <v>1383983.85</v>
      </c>
      <c r="K271" s="39">
        <v>266374.89</v>
      </c>
      <c r="L271" s="39">
        <v>0.0</v>
      </c>
      <c r="M271" s="40">
        <f t="shared" si="3"/>
        <v>1650358.74</v>
      </c>
      <c r="N271" s="39">
        <v>0.0</v>
      </c>
      <c r="O271" s="39">
        <v>809730.69</v>
      </c>
      <c r="P271" s="39">
        <v>0.0</v>
      </c>
      <c r="Q271" s="40">
        <f t="shared" si="4"/>
        <v>809730.69</v>
      </c>
    </row>
    <row r="272" ht="15.75" customHeight="1">
      <c r="A272" s="38">
        <v>268.0</v>
      </c>
      <c r="B272" s="41">
        <v>584797.84</v>
      </c>
      <c r="C272" s="41">
        <v>178471.51</v>
      </c>
      <c r="D272" s="41">
        <v>0.0</v>
      </c>
      <c r="E272" s="40">
        <f t="shared" si="1"/>
        <v>763269.35</v>
      </c>
      <c r="F272" s="41">
        <v>0.0</v>
      </c>
      <c r="G272" s="41">
        <v>0.0</v>
      </c>
      <c r="H272" s="41">
        <v>0.0</v>
      </c>
      <c r="I272" s="40">
        <f t="shared" si="2"/>
        <v>0</v>
      </c>
      <c r="J272" s="41">
        <v>0.0</v>
      </c>
      <c r="K272" s="41">
        <v>68481.76</v>
      </c>
      <c r="L272" s="41">
        <v>1234360.38</v>
      </c>
      <c r="M272" s="40">
        <f t="shared" si="3"/>
        <v>1302842.14</v>
      </c>
      <c r="N272" s="41">
        <v>0.0</v>
      </c>
      <c r="O272" s="41">
        <v>200317.15</v>
      </c>
      <c r="P272" s="41">
        <v>0.0</v>
      </c>
      <c r="Q272" s="40">
        <f t="shared" si="4"/>
        <v>200317.15</v>
      </c>
    </row>
    <row r="273" ht="15.75" customHeight="1">
      <c r="A273" s="38">
        <v>269.0</v>
      </c>
      <c r="B273" s="39">
        <v>0.0</v>
      </c>
      <c r="C273" s="39">
        <v>239345.35</v>
      </c>
      <c r="D273" s="39">
        <v>0.0</v>
      </c>
      <c r="E273" s="40">
        <f t="shared" si="1"/>
        <v>239345.35</v>
      </c>
      <c r="F273" s="39">
        <v>1245523.48</v>
      </c>
      <c r="G273" s="39">
        <v>24782.65</v>
      </c>
      <c r="H273" s="39">
        <v>0.0</v>
      </c>
      <c r="I273" s="40">
        <f t="shared" si="2"/>
        <v>1270306.13</v>
      </c>
      <c r="J273" s="39">
        <v>0.0</v>
      </c>
      <c r="K273" s="39">
        <v>0.0</v>
      </c>
      <c r="L273" s="39">
        <v>0.0</v>
      </c>
      <c r="M273" s="40">
        <f t="shared" si="3"/>
        <v>0</v>
      </c>
      <c r="N273" s="39">
        <v>0.0</v>
      </c>
      <c r="O273" s="39">
        <v>1015465.92</v>
      </c>
      <c r="P273" s="39">
        <v>0.0</v>
      </c>
      <c r="Q273" s="40">
        <f t="shared" si="4"/>
        <v>1015465.92</v>
      </c>
    </row>
    <row r="274" ht="15.75" customHeight="1">
      <c r="A274" s="38">
        <v>270.0</v>
      </c>
      <c r="B274" s="41">
        <v>0.0</v>
      </c>
      <c r="C274" s="41">
        <v>430736.11</v>
      </c>
      <c r="D274" s="41">
        <v>0.0</v>
      </c>
      <c r="E274" s="40">
        <f t="shared" si="1"/>
        <v>430736.11</v>
      </c>
      <c r="F274" s="41">
        <v>0.0</v>
      </c>
      <c r="G274" s="41">
        <v>53453.0</v>
      </c>
      <c r="H274" s="41">
        <v>4112850.02</v>
      </c>
      <c r="I274" s="40">
        <f t="shared" si="2"/>
        <v>4166303.02</v>
      </c>
      <c r="J274" s="41">
        <v>365749.95</v>
      </c>
      <c r="K274" s="41">
        <v>207869.88</v>
      </c>
      <c r="L274" s="41">
        <v>0.0</v>
      </c>
      <c r="M274" s="40">
        <f t="shared" si="3"/>
        <v>573619.83</v>
      </c>
      <c r="N274" s="41">
        <v>0.0</v>
      </c>
      <c r="O274" s="41">
        <v>155711.94</v>
      </c>
      <c r="P274" s="41">
        <v>0.0</v>
      </c>
      <c r="Q274" s="40">
        <f t="shared" si="4"/>
        <v>155711.94</v>
      </c>
    </row>
    <row r="275" ht="15.75" customHeight="1">
      <c r="A275" s="38">
        <v>271.0</v>
      </c>
      <c r="B275" s="39">
        <v>0.0</v>
      </c>
      <c r="C275" s="39">
        <v>0.0</v>
      </c>
      <c r="D275" s="39">
        <v>0.0</v>
      </c>
      <c r="E275" s="40">
        <f t="shared" si="1"/>
        <v>0</v>
      </c>
      <c r="F275" s="39">
        <v>0.0</v>
      </c>
      <c r="G275" s="39">
        <v>0.0</v>
      </c>
      <c r="H275" s="39">
        <v>4903264.5</v>
      </c>
      <c r="I275" s="40">
        <f t="shared" si="2"/>
        <v>4903264.5</v>
      </c>
      <c r="J275" s="39">
        <v>0.0</v>
      </c>
      <c r="K275" s="39">
        <v>290682.58</v>
      </c>
      <c r="L275" s="39">
        <v>0.0</v>
      </c>
      <c r="M275" s="40">
        <f t="shared" si="3"/>
        <v>290682.58</v>
      </c>
      <c r="N275" s="39">
        <v>0.0</v>
      </c>
      <c r="O275" s="39">
        <v>432869.69</v>
      </c>
      <c r="P275" s="39">
        <v>0.0</v>
      </c>
      <c r="Q275" s="40">
        <f t="shared" si="4"/>
        <v>432869.69</v>
      </c>
    </row>
    <row r="276" ht="15.75" customHeight="1">
      <c r="A276" s="38">
        <v>272.0</v>
      </c>
      <c r="B276" s="41">
        <v>0.0</v>
      </c>
      <c r="C276" s="41">
        <v>167700.79</v>
      </c>
      <c r="D276" s="41">
        <v>0.0</v>
      </c>
      <c r="E276" s="40">
        <f t="shared" si="1"/>
        <v>167700.79</v>
      </c>
      <c r="F276" s="41">
        <v>6666889.69</v>
      </c>
      <c r="G276" s="41">
        <v>0.0</v>
      </c>
      <c r="H276" s="41">
        <v>0.0</v>
      </c>
      <c r="I276" s="40">
        <f t="shared" si="2"/>
        <v>6666889.69</v>
      </c>
      <c r="J276" s="41">
        <v>0.0</v>
      </c>
      <c r="K276" s="41">
        <v>153925.22</v>
      </c>
      <c r="L276" s="41">
        <v>1105696.46</v>
      </c>
      <c r="M276" s="40">
        <f t="shared" si="3"/>
        <v>1259621.68</v>
      </c>
      <c r="N276" s="41">
        <v>0.0</v>
      </c>
      <c r="O276" s="41">
        <v>0.0</v>
      </c>
      <c r="P276" s="41">
        <v>0.0</v>
      </c>
      <c r="Q276" s="40">
        <f t="shared" si="4"/>
        <v>0</v>
      </c>
    </row>
    <row r="277" ht="15.75" customHeight="1">
      <c r="A277" s="38">
        <v>273.0</v>
      </c>
      <c r="B277" s="39">
        <v>1833270.07</v>
      </c>
      <c r="C277" s="39">
        <v>0.0</v>
      </c>
      <c r="D277" s="39">
        <v>2414700.16</v>
      </c>
      <c r="E277" s="40">
        <f t="shared" si="1"/>
        <v>4247970.23</v>
      </c>
      <c r="F277" s="39">
        <v>0.0</v>
      </c>
      <c r="G277" s="39">
        <v>353620.32</v>
      </c>
      <c r="H277" s="39">
        <v>851363.98</v>
      </c>
      <c r="I277" s="40">
        <f t="shared" si="2"/>
        <v>1204984.3</v>
      </c>
      <c r="J277" s="39">
        <v>0.0</v>
      </c>
      <c r="K277" s="39">
        <v>366271.8</v>
      </c>
      <c r="L277" s="39">
        <v>0.0</v>
      </c>
      <c r="M277" s="40">
        <f t="shared" si="3"/>
        <v>366271.8</v>
      </c>
      <c r="N277" s="39">
        <v>0.0</v>
      </c>
      <c r="O277" s="39">
        <v>0.0</v>
      </c>
      <c r="P277" s="39">
        <v>1181231.44</v>
      </c>
      <c r="Q277" s="40">
        <f t="shared" si="4"/>
        <v>1181231.44</v>
      </c>
    </row>
    <row r="278" ht="15.75" customHeight="1">
      <c r="A278" s="38">
        <v>274.0</v>
      </c>
      <c r="B278" s="41">
        <v>0.0</v>
      </c>
      <c r="C278" s="41">
        <v>367396.68</v>
      </c>
      <c r="D278" s="41">
        <v>0.0</v>
      </c>
      <c r="E278" s="40">
        <f t="shared" si="1"/>
        <v>367396.68</v>
      </c>
      <c r="F278" s="41">
        <v>487122.43</v>
      </c>
      <c r="G278" s="41">
        <v>0.0</v>
      </c>
      <c r="H278" s="41">
        <v>2947856.76</v>
      </c>
      <c r="I278" s="40">
        <f t="shared" si="2"/>
        <v>3434979.19</v>
      </c>
      <c r="J278" s="41">
        <v>1288699.45</v>
      </c>
      <c r="K278" s="41">
        <v>232189.61</v>
      </c>
      <c r="L278" s="41">
        <v>2064144.92</v>
      </c>
      <c r="M278" s="40">
        <f t="shared" si="3"/>
        <v>3585033.98</v>
      </c>
      <c r="N278" s="41">
        <v>0.0</v>
      </c>
      <c r="O278" s="41">
        <v>0.0</v>
      </c>
      <c r="P278" s="41">
        <v>0.0</v>
      </c>
      <c r="Q278" s="40">
        <f t="shared" si="4"/>
        <v>0</v>
      </c>
    </row>
    <row r="279" ht="15.75" customHeight="1">
      <c r="A279" s="38">
        <v>275.0</v>
      </c>
      <c r="B279" s="39">
        <v>355512.84</v>
      </c>
      <c r="C279" s="39">
        <v>127290.97</v>
      </c>
      <c r="D279" s="39">
        <v>0.0</v>
      </c>
      <c r="E279" s="40">
        <f t="shared" si="1"/>
        <v>482803.81</v>
      </c>
      <c r="F279" s="39">
        <v>0.0</v>
      </c>
      <c r="G279" s="39">
        <v>133483.93</v>
      </c>
      <c r="H279" s="39">
        <v>0.0</v>
      </c>
      <c r="I279" s="40">
        <f t="shared" si="2"/>
        <v>133483.93</v>
      </c>
      <c r="J279" s="39">
        <v>942840.93</v>
      </c>
      <c r="K279" s="39">
        <v>0.0</v>
      </c>
      <c r="L279" s="39">
        <v>821296.75</v>
      </c>
      <c r="M279" s="40">
        <f t="shared" si="3"/>
        <v>1764137.68</v>
      </c>
      <c r="N279" s="39">
        <v>0.0</v>
      </c>
      <c r="O279" s="39">
        <v>0.0</v>
      </c>
      <c r="P279" s="39">
        <v>0.0</v>
      </c>
      <c r="Q279" s="40">
        <f t="shared" si="4"/>
        <v>0</v>
      </c>
    </row>
    <row r="280" ht="15.75" customHeight="1">
      <c r="A280" s="38">
        <v>276.0</v>
      </c>
      <c r="B280" s="41">
        <v>4109575.28</v>
      </c>
      <c r="C280" s="41">
        <v>83755.05</v>
      </c>
      <c r="D280" s="41">
        <v>0.0</v>
      </c>
      <c r="E280" s="40">
        <f t="shared" si="1"/>
        <v>4193330.33</v>
      </c>
      <c r="F280" s="41">
        <v>0.0</v>
      </c>
      <c r="G280" s="41">
        <v>0.0</v>
      </c>
      <c r="H280" s="41">
        <v>0.0</v>
      </c>
      <c r="I280" s="40">
        <f t="shared" si="2"/>
        <v>0</v>
      </c>
      <c r="J280" s="41">
        <v>1140733.83</v>
      </c>
      <c r="K280" s="41">
        <v>79083.41</v>
      </c>
      <c r="L280" s="41">
        <v>0.0</v>
      </c>
      <c r="M280" s="40">
        <f t="shared" si="3"/>
        <v>1219817.24</v>
      </c>
      <c r="N280" s="41">
        <v>0.0</v>
      </c>
      <c r="O280" s="41">
        <v>240545.65</v>
      </c>
      <c r="P280" s="41">
        <v>0.0</v>
      </c>
      <c r="Q280" s="40">
        <f t="shared" si="4"/>
        <v>240545.65</v>
      </c>
    </row>
    <row r="281" ht="15.75" customHeight="1">
      <c r="A281" s="38">
        <v>277.0</v>
      </c>
      <c r="B281" s="39">
        <v>0.0</v>
      </c>
      <c r="C281" s="39">
        <v>231508.73</v>
      </c>
      <c r="D281" s="39">
        <v>0.0</v>
      </c>
      <c r="E281" s="40">
        <f t="shared" si="1"/>
        <v>231508.73</v>
      </c>
      <c r="F281" s="39">
        <v>0.0</v>
      </c>
      <c r="G281" s="39">
        <v>0.0</v>
      </c>
      <c r="H281" s="39">
        <v>0.0</v>
      </c>
      <c r="I281" s="40">
        <f t="shared" si="2"/>
        <v>0</v>
      </c>
      <c r="J281" s="39">
        <v>0.0</v>
      </c>
      <c r="K281" s="39">
        <v>51519.74</v>
      </c>
      <c r="L281" s="39">
        <v>0.0</v>
      </c>
      <c r="M281" s="40">
        <f t="shared" si="3"/>
        <v>51519.74</v>
      </c>
      <c r="N281" s="39">
        <v>0.0</v>
      </c>
      <c r="O281" s="39">
        <v>144184.02</v>
      </c>
      <c r="P281" s="39">
        <v>2949839.55</v>
      </c>
      <c r="Q281" s="40">
        <f t="shared" si="4"/>
        <v>3094023.57</v>
      </c>
    </row>
    <row r="282" ht="15.75" customHeight="1">
      <c r="A282" s="38">
        <v>278.0</v>
      </c>
      <c r="B282" s="41">
        <v>4320892.02</v>
      </c>
      <c r="C282" s="41">
        <v>877597.11</v>
      </c>
      <c r="D282" s="41">
        <v>0.0</v>
      </c>
      <c r="E282" s="40">
        <f t="shared" si="1"/>
        <v>5198489.13</v>
      </c>
      <c r="F282" s="41">
        <v>0.0</v>
      </c>
      <c r="G282" s="41">
        <v>162218.77</v>
      </c>
      <c r="H282" s="41">
        <v>0.0</v>
      </c>
      <c r="I282" s="40">
        <f t="shared" si="2"/>
        <v>162218.77</v>
      </c>
      <c r="J282" s="41">
        <v>0.0</v>
      </c>
      <c r="K282" s="41">
        <v>178606.07</v>
      </c>
      <c r="L282" s="41">
        <v>0.0</v>
      </c>
      <c r="M282" s="40">
        <f t="shared" si="3"/>
        <v>178606.07</v>
      </c>
      <c r="N282" s="41">
        <v>0.0</v>
      </c>
      <c r="O282" s="41">
        <v>182378.12</v>
      </c>
      <c r="P282" s="41">
        <v>2109384.07</v>
      </c>
      <c r="Q282" s="40">
        <f t="shared" si="4"/>
        <v>2291762.19</v>
      </c>
    </row>
    <row r="283" ht="15.75" customHeight="1">
      <c r="A283" s="38">
        <v>279.0</v>
      </c>
      <c r="B283" s="39">
        <v>4158607.97</v>
      </c>
      <c r="C283" s="39">
        <v>0.0</v>
      </c>
      <c r="D283" s="39">
        <v>0.0</v>
      </c>
      <c r="E283" s="40">
        <f t="shared" si="1"/>
        <v>4158607.97</v>
      </c>
      <c r="F283" s="39">
        <v>0.0</v>
      </c>
      <c r="G283" s="39">
        <v>0.0</v>
      </c>
      <c r="H283" s="39">
        <v>0.0</v>
      </c>
      <c r="I283" s="40">
        <f t="shared" si="2"/>
        <v>0</v>
      </c>
      <c r="J283" s="39">
        <v>775544.16</v>
      </c>
      <c r="K283" s="39">
        <v>0.0</v>
      </c>
      <c r="L283" s="39">
        <v>0.0</v>
      </c>
      <c r="M283" s="40">
        <f t="shared" si="3"/>
        <v>775544.16</v>
      </c>
      <c r="N283" s="39">
        <v>0.0</v>
      </c>
      <c r="O283" s="39">
        <v>124433.51</v>
      </c>
      <c r="P283" s="39">
        <v>0.0</v>
      </c>
      <c r="Q283" s="40">
        <f t="shared" si="4"/>
        <v>124433.51</v>
      </c>
    </row>
    <row r="284" ht="15.75" customHeight="1">
      <c r="A284" s="38">
        <v>280.0</v>
      </c>
      <c r="B284" s="41">
        <v>4563479.41</v>
      </c>
      <c r="C284" s="41">
        <v>0.0</v>
      </c>
      <c r="D284" s="41">
        <v>0.0</v>
      </c>
      <c r="E284" s="40">
        <f t="shared" si="1"/>
        <v>4563479.41</v>
      </c>
      <c r="F284" s="41">
        <v>0.0</v>
      </c>
      <c r="G284" s="41">
        <v>0.0</v>
      </c>
      <c r="H284" s="41">
        <v>0.0</v>
      </c>
      <c r="I284" s="40">
        <f t="shared" si="2"/>
        <v>0</v>
      </c>
      <c r="J284" s="41">
        <v>0.0</v>
      </c>
      <c r="K284" s="41">
        <v>599995.76</v>
      </c>
      <c r="L284" s="41">
        <v>882050.77</v>
      </c>
      <c r="M284" s="40">
        <f t="shared" si="3"/>
        <v>1482046.53</v>
      </c>
      <c r="N284" s="41">
        <v>0.0</v>
      </c>
      <c r="O284" s="41">
        <v>85025.07</v>
      </c>
      <c r="P284" s="41">
        <v>0.0</v>
      </c>
      <c r="Q284" s="40">
        <f t="shared" si="4"/>
        <v>85025.07</v>
      </c>
    </row>
    <row r="285" ht="15.75" customHeight="1">
      <c r="A285" s="38">
        <v>281.0</v>
      </c>
      <c r="B285" s="39">
        <v>0.0</v>
      </c>
      <c r="C285" s="39">
        <v>912670.52</v>
      </c>
      <c r="D285" s="39">
        <v>3562140.15</v>
      </c>
      <c r="E285" s="40">
        <f t="shared" si="1"/>
        <v>4474810.67</v>
      </c>
      <c r="F285" s="39">
        <v>936995.69</v>
      </c>
      <c r="G285" s="39">
        <v>0.0</v>
      </c>
      <c r="H285" s="39">
        <v>5035810.7</v>
      </c>
      <c r="I285" s="40">
        <f t="shared" si="2"/>
        <v>5972806.39</v>
      </c>
      <c r="J285" s="39">
        <v>434069.75</v>
      </c>
      <c r="K285" s="39">
        <v>291236.06</v>
      </c>
      <c r="L285" s="39">
        <v>0.0</v>
      </c>
      <c r="M285" s="40">
        <f t="shared" si="3"/>
        <v>725305.81</v>
      </c>
      <c r="N285" s="39">
        <v>0.0</v>
      </c>
      <c r="O285" s="39">
        <v>0.0</v>
      </c>
      <c r="P285" s="39">
        <v>0.0</v>
      </c>
      <c r="Q285" s="40">
        <f t="shared" si="4"/>
        <v>0</v>
      </c>
    </row>
    <row r="286" ht="15.75" customHeight="1">
      <c r="A286" s="38">
        <v>282.0</v>
      </c>
      <c r="B286" s="41">
        <v>231749.78</v>
      </c>
      <c r="C286" s="41">
        <v>76845.88</v>
      </c>
      <c r="D286" s="41">
        <v>3910450.74</v>
      </c>
      <c r="E286" s="40">
        <f t="shared" si="1"/>
        <v>4219046.4</v>
      </c>
      <c r="F286" s="41">
        <v>1224633.47</v>
      </c>
      <c r="G286" s="41">
        <v>0.0</v>
      </c>
      <c r="H286" s="41">
        <v>0.0</v>
      </c>
      <c r="I286" s="40">
        <f t="shared" si="2"/>
        <v>1224633.47</v>
      </c>
      <c r="J286" s="41">
        <v>0.0</v>
      </c>
      <c r="K286" s="41">
        <v>0.0</v>
      </c>
      <c r="L286" s="41">
        <v>4870004.87</v>
      </c>
      <c r="M286" s="40">
        <f t="shared" si="3"/>
        <v>4870004.87</v>
      </c>
      <c r="N286" s="41">
        <v>0.0</v>
      </c>
      <c r="O286" s="41">
        <v>0.0</v>
      </c>
      <c r="P286" s="41">
        <v>0.0</v>
      </c>
      <c r="Q286" s="40">
        <f t="shared" si="4"/>
        <v>0</v>
      </c>
    </row>
    <row r="287" ht="15.75" customHeight="1">
      <c r="A287" s="38">
        <v>283.0</v>
      </c>
      <c r="B287" s="39">
        <v>2253974.91</v>
      </c>
      <c r="C287" s="39">
        <v>342934.09</v>
      </c>
      <c r="D287" s="39">
        <v>0.0</v>
      </c>
      <c r="E287" s="40">
        <f t="shared" si="1"/>
        <v>2596909</v>
      </c>
      <c r="F287" s="39">
        <v>0.0</v>
      </c>
      <c r="G287" s="39">
        <v>734913.25</v>
      </c>
      <c r="H287" s="39">
        <v>0.0</v>
      </c>
      <c r="I287" s="40">
        <f t="shared" si="2"/>
        <v>734913.25</v>
      </c>
      <c r="J287" s="39">
        <v>0.0</v>
      </c>
      <c r="K287" s="39">
        <v>1151850.75</v>
      </c>
      <c r="L287" s="39">
        <v>0.0</v>
      </c>
      <c r="M287" s="40">
        <f t="shared" si="3"/>
        <v>1151850.75</v>
      </c>
      <c r="N287" s="39">
        <v>0.0</v>
      </c>
      <c r="O287" s="39">
        <v>0.0</v>
      </c>
      <c r="P287" s="39">
        <v>0.0</v>
      </c>
      <c r="Q287" s="40">
        <f t="shared" si="4"/>
        <v>0</v>
      </c>
    </row>
    <row r="288" ht="15.75" customHeight="1">
      <c r="A288" s="38">
        <v>284.0</v>
      </c>
      <c r="B288" s="41">
        <v>0.0</v>
      </c>
      <c r="C288" s="41">
        <v>0.0</v>
      </c>
      <c r="D288" s="41">
        <v>0.0</v>
      </c>
      <c r="E288" s="40">
        <f t="shared" si="1"/>
        <v>0</v>
      </c>
      <c r="F288" s="41">
        <v>606441.91</v>
      </c>
      <c r="G288" s="41">
        <v>0.0</v>
      </c>
      <c r="H288" s="41">
        <v>0.0</v>
      </c>
      <c r="I288" s="40">
        <f t="shared" si="2"/>
        <v>606441.91</v>
      </c>
      <c r="J288" s="41">
        <v>511079.56</v>
      </c>
      <c r="K288" s="41">
        <v>144140.07</v>
      </c>
      <c r="L288" s="41">
        <v>1603150.49</v>
      </c>
      <c r="M288" s="40">
        <f t="shared" si="3"/>
        <v>2258370.12</v>
      </c>
      <c r="N288" s="41">
        <v>0.0</v>
      </c>
      <c r="O288" s="41">
        <v>0.0</v>
      </c>
      <c r="P288" s="41">
        <v>0.0</v>
      </c>
      <c r="Q288" s="40">
        <f t="shared" si="4"/>
        <v>0</v>
      </c>
    </row>
    <row r="289" ht="15.75" customHeight="1">
      <c r="A289" s="38">
        <v>285.0</v>
      </c>
      <c r="B289" s="39">
        <v>0.0</v>
      </c>
      <c r="C289" s="39">
        <v>0.0</v>
      </c>
      <c r="D289" s="39">
        <v>0.0</v>
      </c>
      <c r="E289" s="40">
        <f t="shared" si="1"/>
        <v>0</v>
      </c>
      <c r="F289" s="39">
        <v>0.0</v>
      </c>
      <c r="G289" s="39">
        <v>0.0</v>
      </c>
      <c r="H289" s="39">
        <v>0.0</v>
      </c>
      <c r="I289" s="40">
        <f t="shared" si="2"/>
        <v>0</v>
      </c>
      <c r="J289" s="39">
        <v>0.0</v>
      </c>
      <c r="K289" s="39">
        <v>279678.21</v>
      </c>
      <c r="L289" s="39">
        <v>0.0</v>
      </c>
      <c r="M289" s="40">
        <f t="shared" si="3"/>
        <v>279678.21</v>
      </c>
      <c r="N289" s="39">
        <v>0.0</v>
      </c>
      <c r="O289" s="39">
        <v>0.0</v>
      </c>
      <c r="P289" s="39">
        <v>0.0</v>
      </c>
      <c r="Q289" s="40">
        <f t="shared" si="4"/>
        <v>0</v>
      </c>
    </row>
    <row r="290" ht="15.75" customHeight="1">
      <c r="A290" s="38">
        <v>286.0</v>
      </c>
      <c r="B290" s="41">
        <v>997881.76</v>
      </c>
      <c r="C290" s="41">
        <v>497557.21</v>
      </c>
      <c r="D290" s="41">
        <v>0.0</v>
      </c>
      <c r="E290" s="40">
        <f t="shared" si="1"/>
        <v>1495438.97</v>
      </c>
      <c r="F290" s="41">
        <v>0.0</v>
      </c>
      <c r="G290" s="41">
        <v>518215.94</v>
      </c>
      <c r="H290" s="41">
        <v>0.0</v>
      </c>
      <c r="I290" s="40">
        <f t="shared" si="2"/>
        <v>518215.94</v>
      </c>
      <c r="J290" s="41">
        <v>1884044.96</v>
      </c>
      <c r="K290" s="41">
        <v>0.0</v>
      </c>
      <c r="L290" s="41">
        <v>0.0</v>
      </c>
      <c r="M290" s="40">
        <f t="shared" si="3"/>
        <v>1884044.96</v>
      </c>
      <c r="N290" s="41">
        <v>0.0</v>
      </c>
      <c r="O290" s="41">
        <v>0.0</v>
      </c>
      <c r="P290" s="41">
        <v>0.0</v>
      </c>
      <c r="Q290" s="40">
        <f t="shared" si="4"/>
        <v>0</v>
      </c>
    </row>
    <row r="291" ht="15.75" customHeight="1">
      <c r="A291" s="38">
        <v>287.0</v>
      </c>
      <c r="B291" s="39">
        <v>715284.55</v>
      </c>
      <c r="C291" s="39">
        <v>499392.94</v>
      </c>
      <c r="D291" s="39">
        <v>0.0</v>
      </c>
      <c r="E291" s="40">
        <f t="shared" si="1"/>
        <v>1214677.49</v>
      </c>
      <c r="F291" s="39">
        <v>0.0</v>
      </c>
      <c r="G291" s="39">
        <v>0.0</v>
      </c>
      <c r="H291" s="39">
        <v>0.0</v>
      </c>
      <c r="I291" s="40">
        <f t="shared" si="2"/>
        <v>0</v>
      </c>
      <c r="J291" s="39">
        <v>161391.95</v>
      </c>
      <c r="K291" s="39">
        <v>496126.43</v>
      </c>
      <c r="L291" s="39">
        <v>0.0</v>
      </c>
      <c r="M291" s="40">
        <f t="shared" si="3"/>
        <v>657518.38</v>
      </c>
      <c r="N291" s="39">
        <v>385554.73</v>
      </c>
      <c r="O291" s="39">
        <v>0.0</v>
      </c>
      <c r="P291" s="39">
        <v>0.0</v>
      </c>
      <c r="Q291" s="40">
        <f t="shared" si="4"/>
        <v>385554.73</v>
      </c>
    </row>
    <row r="292" ht="15.75" customHeight="1">
      <c r="A292" s="38">
        <v>288.0</v>
      </c>
      <c r="B292" s="41">
        <v>0.0</v>
      </c>
      <c r="C292" s="41">
        <v>400043.37</v>
      </c>
      <c r="D292" s="41">
        <v>0.0</v>
      </c>
      <c r="E292" s="40">
        <f t="shared" si="1"/>
        <v>400043.37</v>
      </c>
      <c r="F292" s="41">
        <v>168211.26</v>
      </c>
      <c r="G292" s="41">
        <v>0.0</v>
      </c>
      <c r="H292" s="41">
        <v>0.0</v>
      </c>
      <c r="I292" s="40">
        <f t="shared" si="2"/>
        <v>168211.26</v>
      </c>
      <c r="J292" s="41">
        <v>0.0</v>
      </c>
      <c r="K292" s="41">
        <v>0.0</v>
      </c>
      <c r="L292" s="41">
        <v>0.0</v>
      </c>
      <c r="M292" s="40">
        <f t="shared" si="3"/>
        <v>0</v>
      </c>
      <c r="N292" s="41">
        <v>132180.99</v>
      </c>
      <c r="O292" s="41">
        <v>0.0</v>
      </c>
      <c r="P292" s="41">
        <v>0.0</v>
      </c>
      <c r="Q292" s="40">
        <f t="shared" si="4"/>
        <v>132180.99</v>
      </c>
    </row>
    <row r="293" ht="15.75" customHeight="1">
      <c r="A293" s="38">
        <v>289.0</v>
      </c>
      <c r="B293" s="39">
        <v>108062.78</v>
      </c>
      <c r="C293" s="39">
        <v>135942.36</v>
      </c>
      <c r="D293" s="39">
        <v>0.0</v>
      </c>
      <c r="E293" s="40">
        <f t="shared" si="1"/>
        <v>244005.14</v>
      </c>
      <c r="F293" s="39">
        <v>0.0</v>
      </c>
      <c r="G293" s="39">
        <v>121465.58</v>
      </c>
      <c r="H293" s="39">
        <v>0.0</v>
      </c>
      <c r="I293" s="40">
        <f t="shared" si="2"/>
        <v>121465.58</v>
      </c>
      <c r="J293" s="39">
        <v>0.0</v>
      </c>
      <c r="K293" s="39">
        <v>147827.13</v>
      </c>
      <c r="L293" s="39">
        <v>953576.96</v>
      </c>
      <c r="M293" s="40">
        <f t="shared" si="3"/>
        <v>1101404.09</v>
      </c>
      <c r="N293" s="39">
        <v>1064288.13</v>
      </c>
      <c r="O293" s="39">
        <v>22167.04</v>
      </c>
      <c r="P293" s="39">
        <v>0.0</v>
      </c>
      <c r="Q293" s="40">
        <f t="shared" si="4"/>
        <v>1086455.17</v>
      </c>
    </row>
    <row r="294" ht="15.75" customHeight="1">
      <c r="A294" s="38">
        <v>290.0</v>
      </c>
      <c r="B294" s="41">
        <v>172878.62</v>
      </c>
      <c r="C294" s="41">
        <v>0.0</v>
      </c>
      <c r="D294" s="41">
        <v>0.0</v>
      </c>
      <c r="E294" s="40">
        <f t="shared" si="1"/>
        <v>172878.62</v>
      </c>
      <c r="F294" s="41">
        <v>0.0</v>
      </c>
      <c r="G294" s="41">
        <v>294721.77</v>
      </c>
      <c r="H294" s="41">
        <v>5048877.99</v>
      </c>
      <c r="I294" s="40">
        <f t="shared" si="2"/>
        <v>5343599.76</v>
      </c>
      <c r="J294" s="41">
        <v>0.0</v>
      </c>
      <c r="K294" s="41">
        <v>64769.17</v>
      </c>
      <c r="L294" s="41">
        <v>2603723.21</v>
      </c>
      <c r="M294" s="40">
        <f t="shared" si="3"/>
        <v>2668492.38</v>
      </c>
      <c r="N294" s="41">
        <v>1800306.88</v>
      </c>
      <c r="O294" s="41">
        <v>220655.89</v>
      </c>
      <c r="P294" s="41">
        <v>0.0</v>
      </c>
      <c r="Q294" s="40">
        <f t="shared" si="4"/>
        <v>2020962.77</v>
      </c>
    </row>
    <row r="295" ht="15.75" customHeight="1">
      <c r="A295" s="38">
        <v>291.0</v>
      </c>
      <c r="B295" s="39">
        <v>0.0</v>
      </c>
      <c r="C295" s="39">
        <v>530890.87</v>
      </c>
      <c r="D295" s="39">
        <v>0.0</v>
      </c>
      <c r="E295" s="40">
        <f t="shared" si="1"/>
        <v>530890.87</v>
      </c>
      <c r="F295" s="39">
        <v>0.0</v>
      </c>
      <c r="G295" s="39">
        <v>0.0</v>
      </c>
      <c r="H295" s="39">
        <v>0.0</v>
      </c>
      <c r="I295" s="40">
        <f t="shared" si="2"/>
        <v>0</v>
      </c>
      <c r="J295" s="39">
        <v>5038525.01</v>
      </c>
      <c r="K295" s="39">
        <v>0.0</v>
      </c>
      <c r="L295" s="39">
        <v>0.0</v>
      </c>
      <c r="M295" s="40">
        <f t="shared" si="3"/>
        <v>5038525.01</v>
      </c>
      <c r="N295" s="39">
        <v>2572898.15</v>
      </c>
      <c r="O295" s="39">
        <v>0.0</v>
      </c>
      <c r="P295" s="39">
        <v>0.0</v>
      </c>
      <c r="Q295" s="40">
        <f t="shared" si="4"/>
        <v>2572898.15</v>
      </c>
    </row>
    <row r="296" ht="15.75" customHeight="1">
      <c r="A296" s="38">
        <v>292.0</v>
      </c>
      <c r="B296" s="41">
        <v>0.0</v>
      </c>
      <c r="C296" s="41">
        <v>3372283.7</v>
      </c>
      <c r="D296" s="41">
        <v>0.0</v>
      </c>
      <c r="E296" s="40">
        <f t="shared" si="1"/>
        <v>3372283.7</v>
      </c>
      <c r="F296" s="41">
        <v>0.0</v>
      </c>
      <c r="G296" s="41">
        <v>0.0</v>
      </c>
      <c r="H296" s="41">
        <v>0.0</v>
      </c>
      <c r="I296" s="40">
        <f t="shared" si="2"/>
        <v>0</v>
      </c>
      <c r="J296" s="41">
        <v>1.202267146E7</v>
      </c>
      <c r="K296" s="41">
        <v>0.0</v>
      </c>
      <c r="L296" s="41">
        <v>0.0</v>
      </c>
      <c r="M296" s="40">
        <f t="shared" si="3"/>
        <v>12022671.46</v>
      </c>
      <c r="N296" s="41">
        <v>0.0</v>
      </c>
      <c r="O296" s="41">
        <v>0.0</v>
      </c>
      <c r="P296" s="41">
        <v>0.0</v>
      </c>
      <c r="Q296" s="40">
        <f t="shared" si="4"/>
        <v>0</v>
      </c>
    </row>
    <row r="297" ht="15.75" customHeight="1">
      <c r="A297" s="38">
        <v>293.0</v>
      </c>
      <c r="B297" s="39">
        <v>1438962.15</v>
      </c>
      <c r="C297" s="39">
        <v>0.0</v>
      </c>
      <c r="D297" s="39">
        <v>0.0</v>
      </c>
      <c r="E297" s="40">
        <f t="shared" si="1"/>
        <v>1438962.15</v>
      </c>
      <c r="F297" s="39">
        <v>0.0</v>
      </c>
      <c r="G297" s="39">
        <v>0.0</v>
      </c>
      <c r="H297" s="39">
        <v>0.0</v>
      </c>
      <c r="I297" s="40">
        <f t="shared" si="2"/>
        <v>0</v>
      </c>
      <c r="J297" s="39">
        <v>1401746.81</v>
      </c>
      <c r="K297" s="39">
        <v>0.0</v>
      </c>
      <c r="L297" s="39">
        <v>0.0</v>
      </c>
      <c r="M297" s="40">
        <f t="shared" si="3"/>
        <v>1401746.81</v>
      </c>
      <c r="N297" s="39">
        <v>405331.21</v>
      </c>
      <c r="O297" s="39">
        <v>0.0</v>
      </c>
      <c r="P297" s="39">
        <v>0.0</v>
      </c>
      <c r="Q297" s="40">
        <f t="shared" si="4"/>
        <v>405331.21</v>
      </c>
    </row>
    <row r="298" ht="15.75" customHeight="1">
      <c r="A298" s="38">
        <v>294.0</v>
      </c>
      <c r="B298" s="41">
        <v>0.0</v>
      </c>
      <c r="C298" s="41">
        <v>28454.95</v>
      </c>
      <c r="D298" s="41">
        <v>0.0</v>
      </c>
      <c r="E298" s="40">
        <f t="shared" si="1"/>
        <v>28454.95</v>
      </c>
      <c r="F298" s="41">
        <v>1744674.86</v>
      </c>
      <c r="G298" s="41">
        <v>0.0</v>
      </c>
      <c r="H298" s="41">
        <v>0.0</v>
      </c>
      <c r="I298" s="40">
        <f t="shared" si="2"/>
        <v>1744674.86</v>
      </c>
      <c r="J298" s="41">
        <v>2399698.39</v>
      </c>
      <c r="K298" s="41">
        <v>447458.86</v>
      </c>
      <c r="L298" s="41">
        <v>0.0</v>
      </c>
      <c r="M298" s="40">
        <f t="shared" si="3"/>
        <v>2847157.25</v>
      </c>
      <c r="N298" s="41">
        <v>857906.42</v>
      </c>
      <c r="O298" s="41">
        <v>0.0</v>
      </c>
      <c r="P298" s="41">
        <v>0.0</v>
      </c>
      <c r="Q298" s="40">
        <f t="shared" si="4"/>
        <v>857906.42</v>
      </c>
    </row>
    <row r="299" ht="15.75" customHeight="1">
      <c r="A299" s="38">
        <v>295.0</v>
      </c>
      <c r="B299" s="39">
        <v>0.0</v>
      </c>
      <c r="C299" s="39">
        <v>338213.73</v>
      </c>
      <c r="D299" s="39">
        <v>0.0</v>
      </c>
      <c r="E299" s="40">
        <f t="shared" si="1"/>
        <v>338213.73</v>
      </c>
      <c r="F299" s="39">
        <v>0.0</v>
      </c>
      <c r="G299" s="39">
        <v>375506.57</v>
      </c>
      <c r="H299" s="39">
        <v>0.0</v>
      </c>
      <c r="I299" s="40">
        <f t="shared" si="2"/>
        <v>375506.57</v>
      </c>
      <c r="J299" s="39">
        <v>268271.03</v>
      </c>
      <c r="K299" s="39">
        <v>107647.78</v>
      </c>
      <c r="L299" s="39">
        <v>1623673.85</v>
      </c>
      <c r="M299" s="40">
        <f t="shared" si="3"/>
        <v>1999592.66</v>
      </c>
      <c r="N299" s="39">
        <v>0.0</v>
      </c>
      <c r="O299" s="39">
        <v>0.0</v>
      </c>
      <c r="P299" s="39">
        <v>0.0</v>
      </c>
      <c r="Q299" s="40">
        <f t="shared" si="4"/>
        <v>0</v>
      </c>
    </row>
    <row r="300" ht="15.75" customHeight="1">
      <c r="A300" s="38">
        <v>296.0</v>
      </c>
      <c r="B300" s="41">
        <v>0.0</v>
      </c>
      <c r="C300" s="41">
        <v>0.0</v>
      </c>
      <c r="D300" s="41">
        <v>2881969.57</v>
      </c>
      <c r="E300" s="40">
        <f t="shared" si="1"/>
        <v>2881969.57</v>
      </c>
      <c r="F300" s="41">
        <v>4074662.51</v>
      </c>
      <c r="G300" s="41">
        <v>1011226.13</v>
      </c>
      <c r="H300" s="41">
        <v>0.0</v>
      </c>
      <c r="I300" s="40">
        <f t="shared" si="2"/>
        <v>5085888.64</v>
      </c>
      <c r="J300" s="41">
        <v>1.040593748E7</v>
      </c>
      <c r="K300" s="41">
        <v>238440.7</v>
      </c>
      <c r="L300" s="41">
        <v>2880420.73</v>
      </c>
      <c r="M300" s="40">
        <f t="shared" si="3"/>
        <v>13524798.91</v>
      </c>
      <c r="N300" s="41">
        <v>0.0</v>
      </c>
      <c r="O300" s="41">
        <v>161103.15</v>
      </c>
      <c r="P300" s="41">
        <v>0.0</v>
      </c>
      <c r="Q300" s="40">
        <f t="shared" si="4"/>
        <v>161103.15</v>
      </c>
    </row>
    <row r="301" ht="15.75" customHeight="1">
      <c r="A301" s="38">
        <v>297.0</v>
      </c>
      <c r="B301" s="39">
        <v>0.0</v>
      </c>
      <c r="C301" s="39">
        <v>0.0</v>
      </c>
      <c r="D301" s="39">
        <v>0.0</v>
      </c>
      <c r="E301" s="40">
        <f t="shared" si="1"/>
        <v>0</v>
      </c>
      <c r="F301" s="39">
        <v>0.0</v>
      </c>
      <c r="G301" s="39">
        <v>0.0</v>
      </c>
      <c r="H301" s="39">
        <v>0.0</v>
      </c>
      <c r="I301" s="40">
        <f t="shared" si="2"/>
        <v>0</v>
      </c>
      <c r="J301" s="39">
        <v>53407.73</v>
      </c>
      <c r="K301" s="39">
        <v>221667.4</v>
      </c>
      <c r="L301" s="39">
        <v>6778477.77</v>
      </c>
      <c r="M301" s="40">
        <f t="shared" si="3"/>
        <v>7053552.9</v>
      </c>
      <c r="N301" s="39">
        <v>3342582.78</v>
      </c>
      <c r="O301" s="39">
        <v>403655.1</v>
      </c>
      <c r="P301" s="39">
        <v>0.0</v>
      </c>
      <c r="Q301" s="40">
        <f t="shared" si="4"/>
        <v>3746237.88</v>
      </c>
    </row>
    <row r="302" ht="15.75" customHeight="1">
      <c r="A302" s="38">
        <v>298.0</v>
      </c>
      <c r="B302" s="41">
        <v>0.0</v>
      </c>
      <c r="C302" s="41">
        <v>0.0</v>
      </c>
      <c r="D302" s="41">
        <v>0.0</v>
      </c>
      <c r="E302" s="40">
        <f t="shared" si="1"/>
        <v>0</v>
      </c>
      <c r="F302" s="41">
        <v>0.0</v>
      </c>
      <c r="G302" s="41">
        <v>0.0</v>
      </c>
      <c r="H302" s="41">
        <v>0.0</v>
      </c>
      <c r="I302" s="40">
        <f t="shared" si="2"/>
        <v>0</v>
      </c>
      <c r="J302" s="41">
        <v>163363.17</v>
      </c>
      <c r="K302" s="41">
        <v>437555.8</v>
      </c>
      <c r="L302" s="41">
        <v>0.0</v>
      </c>
      <c r="M302" s="40">
        <f t="shared" si="3"/>
        <v>600918.97</v>
      </c>
      <c r="N302" s="41">
        <v>0.0</v>
      </c>
      <c r="O302" s="41">
        <v>0.0</v>
      </c>
      <c r="P302" s="41">
        <v>0.0</v>
      </c>
      <c r="Q302" s="40">
        <f t="shared" si="4"/>
        <v>0</v>
      </c>
    </row>
    <row r="303" ht="15.75" customHeight="1">
      <c r="A303" s="38">
        <v>299.0</v>
      </c>
      <c r="B303" s="39">
        <v>0.0</v>
      </c>
      <c r="C303" s="39">
        <v>0.0</v>
      </c>
      <c r="D303" s="39">
        <v>0.0</v>
      </c>
      <c r="E303" s="40">
        <f t="shared" si="1"/>
        <v>0</v>
      </c>
      <c r="F303" s="39">
        <v>141322.57</v>
      </c>
      <c r="G303" s="39">
        <v>0.0</v>
      </c>
      <c r="H303" s="39">
        <v>0.0</v>
      </c>
      <c r="I303" s="40">
        <f t="shared" si="2"/>
        <v>141322.57</v>
      </c>
      <c r="J303" s="39">
        <v>958117.96</v>
      </c>
      <c r="K303" s="39">
        <v>673806.54</v>
      </c>
      <c r="L303" s="39">
        <v>0.0</v>
      </c>
      <c r="M303" s="40">
        <f t="shared" si="3"/>
        <v>1631924.5</v>
      </c>
      <c r="N303" s="39">
        <v>0.0</v>
      </c>
      <c r="O303" s="39">
        <v>345643.97</v>
      </c>
      <c r="P303" s="39">
        <v>0.0</v>
      </c>
      <c r="Q303" s="40">
        <f t="shared" si="4"/>
        <v>345643.97</v>
      </c>
    </row>
    <row r="304" ht="15.75" customHeight="1">
      <c r="A304" s="38">
        <v>300.0</v>
      </c>
      <c r="B304" s="41">
        <v>2252448.12</v>
      </c>
      <c r="C304" s="41">
        <v>0.0</v>
      </c>
      <c r="D304" s="41">
        <v>0.0</v>
      </c>
      <c r="E304" s="40">
        <f t="shared" si="1"/>
        <v>2252448.12</v>
      </c>
      <c r="F304" s="41">
        <v>0.0</v>
      </c>
      <c r="G304" s="41">
        <v>272406.07</v>
      </c>
      <c r="H304" s="41">
        <v>0.0</v>
      </c>
      <c r="I304" s="40">
        <f t="shared" si="2"/>
        <v>272406.07</v>
      </c>
      <c r="J304" s="41">
        <v>0.0</v>
      </c>
      <c r="K304" s="41">
        <v>0.0</v>
      </c>
      <c r="L304" s="41">
        <v>2.083443326E7</v>
      </c>
      <c r="M304" s="40">
        <f t="shared" si="3"/>
        <v>20834433.26</v>
      </c>
      <c r="N304" s="41">
        <v>0.0</v>
      </c>
      <c r="O304" s="41">
        <v>65040.52</v>
      </c>
      <c r="P304" s="41">
        <v>0.0</v>
      </c>
      <c r="Q304" s="40">
        <f t="shared" si="4"/>
        <v>65040.52</v>
      </c>
    </row>
    <row r="305" ht="15.75" customHeight="1">
      <c r="A305" s="38">
        <v>301.0</v>
      </c>
      <c r="B305" s="39">
        <v>1475597.47</v>
      </c>
      <c r="C305" s="39">
        <v>575917.62</v>
      </c>
      <c r="D305" s="39">
        <v>9706446.68</v>
      </c>
      <c r="E305" s="40">
        <f t="shared" si="1"/>
        <v>11757961.77</v>
      </c>
      <c r="F305" s="39">
        <v>1919229.41</v>
      </c>
      <c r="G305" s="39">
        <v>0.0</v>
      </c>
      <c r="H305" s="39">
        <v>0.0</v>
      </c>
      <c r="I305" s="40">
        <f t="shared" si="2"/>
        <v>1919229.41</v>
      </c>
      <c r="J305" s="39">
        <v>191034.2</v>
      </c>
      <c r="K305" s="39">
        <v>0.0</v>
      </c>
      <c r="L305" s="39">
        <v>0.0</v>
      </c>
      <c r="M305" s="40">
        <f t="shared" si="3"/>
        <v>191034.2</v>
      </c>
      <c r="N305" s="39">
        <v>0.0</v>
      </c>
      <c r="O305" s="39">
        <v>59941.35</v>
      </c>
      <c r="P305" s="39">
        <v>0.0</v>
      </c>
      <c r="Q305" s="40">
        <f t="shared" si="4"/>
        <v>59941.35</v>
      </c>
    </row>
    <row r="306" ht="15.75" customHeight="1">
      <c r="A306" s="38">
        <v>302.0</v>
      </c>
      <c r="B306" s="41">
        <v>0.0</v>
      </c>
      <c r="C306" s="41">
        <v>0.0</v>
      </c>
      <c r="D306" s="41">
        <v>0.0</v>
      </c>
      <c r="E306" s="40">
        <f t="shared" si="1"/>
        <v>0</v>
      </c>
      <c r="F306" s="41">
        <v>2290447.23</v>
      </c>
      <c r="G306" s="41">
        <v>0.0</v>
      </c>
      <c r="H306" s="41">
        <v>0.0</v>
      </c>
      <c r="I306" s="40">
        <f t="shared" si="2"/>
        <v>2290447.23</v>
      </c>
      <c r="J306" s="41">
        <v>3067812.37</v>
      </c>
      <c r="K306" s="41">
        <v>0.0</v>
      </c>
      <c r="L306" s="41">
        <v>0.0</v>
      </c>
      <c r="M306" s="40">
        <f t="shared" si="3"/>
        <v>3067812.37</v>
      </c>
      <c r="N306" s="41">
        <v>1344881.97</v>
      </c>
      <c r="O306" s="41">
        <v>0.0</v>
      </c>
      <c r="P306" s="41">
        <v>2198452.2</v>
      </c>
      <c r="Q306" s="40">
        <f t="shared" si="4"/>
        <v>3543334.17</v>
      </c>
    </row>
    <row r="307" ht="15.75" customHeight="1">
      <c r="A307" s="38">
        <v>303.0</v>
      </c>
      <c r="B307" s="39">
        <v>5416471.79</v>
      </c>
      <c r="C307" s="39">
        <v>1226816.18</v>
      </c>
      <c r="D307" s="39">
        <v>762499.51</v>
      </c>
      <c r="E307" s="40">
        <f t="shared" si="1"/>
        <v>7405787.48</v>
      </c>
      <c r="F307" s="39">
        <v>0.0</v>
      </c>
      <c r="G307" s="39">
        <v>155051.34</v>
      </c>
      <c r="H307" s="39">
        <v>0.0</v>
      </c>
      <c r="I307" s="40">
        <f t="shared" si="2"/>
        <v>155051.34</v>
      </c>
      <c r="J307" s="39">
        <v>62389.38</v>
      </c>
      <c r="K307" s="39">
        <v>240150.99</v>
      </c>
      <c r="L307" s="39">
        <v>0.0</v>
      </c>
      <c r="M307" s="40">
        <f t="shared" si="3"/>
        <v>302540.37</v>
      </c>
      <c r="N307" s="39">
        <v>0.0</v>
      </c>
      <c r="O307" s="39">
        <v>0.0</v>
      </c>
      <c r="P307" s="39">
        <v>375812.89</v>
      </c>
      <c r="Q307" s="40">
        <f t="shared" si="4"/>
        <v>375812.89</v>
      </c>
    </row>
    <row r="308" ht="15.75" customHeight="1">
      <c r="A308" s="38">
        <v>304.0</v>
      </c>
      <c r="B308" s="41">
        <v>875481.81</v>
      </c>
      <c r="C308" s="41">
        <v>0.0</v>
      </c>
      <c r="D308" s="41">
        <v>0.0</v>
      </c>
      <c r="E308" s="40">
        <f t="shared" si="1"/>
        <v>875481.81</v>
      </c>
      <c r="F308" s="41">
        <v>0.0</v>
      </c>
      <c r="G308" s="41">
        <v>0.0</v>
      </c>
      <c r="H308" s="41">
        <v>0.0</v>
      </c>
      <c r="I308" s="40">
        <f t="shared" si="2"/>
        <v>0</v>
      </c>
      <c r="J308" s="41">
        <v>1480726.33</v>
      </c>
      <c r="K308" s="41">
        <v>600543.76</v>
      </c>
      <c r="L308" s="41">
        <v>0.0</v>
      </c>
      <c r="M308" s="40">
        <f t="shared" si="3"/>
        <v>2081270.09</v>
      </c>
      <c r="N308" s="41">
        <v>0.0</v>
      </c>
      <c r="O308" s="41">
        <v>191908.72</v>
      </c>
      <c r="P308" s="41">
        <v>0.0</v>
      </c>
      <c r="Q308" s="40">
        <f t="shared" si="4"/>
        <v>191908.72</v>
      </c>
    </row>
    <row r="309" ht="15.75" customHeight="1">
      <c r="A309" s="38">
        <v>305.0</v>
      </c>
      <c r="B309" s="39">
        <v>0.0</v>
      </c>
      <c r="C309" s="39">
        <v>267464.67</v>
      </c>
      <c r="D309" s="39">
        <v>1117160.05</v>
      </c>
      <c r="E309" s="40">
        <f t="shared" si="1"/>
        <v>1384624.72</v>
      </c>
      <c r="F309" s="39">
        <v>0.0</v>
      </c>
      <c r="G309" s="39">
        <v>1169242.22</v>
      </c>
      <c r="H309" s="39">
        <v>1897364.21</v>
      </c>
      <c r="I309" s="40">
        <f t="shared" si="2"/>
        <v>3066606.43</v>
      </c>
      <c r="J309" s="39">
        <v>1144991.03</v>
      </c>
      <c r="K309" s="39">
        <v>564391.73</v>
      </c>
      <c r="L309" s="39">
        <v>0.0</v>
      </c>
      <c r="M309" s="40">
        <f t="shared" si="3"/>
        <v>1709382.76</v>
      </c>
      <c r="N309" s="39">
        <v>0.0</v>
      </c>
      <c r="O309" s="39">
        <v>101514.05</v>
      </c>
      <c r="P309" s="39">
        <v>0.0</v>
      </c>
      <c r="Q309" s="40">
        <f t="shared" si="4"/>
        <v>101514.05</v>
      </c>
    </row>
    <row r="310" ht="15.75" customHeight="1">
      <c r="A310" s="38">
        <v>306.0</v>
      </c>
      <c r="B310" s="41">
        <v>1806045.17</v>
      </c>
      <c r="C310" s="41">
        <v>116397.37</v>
      </c>
      <c r="D310" s="41">
        <v>0.0</v>
      </c>
      <c r="E310" s="40">
        <f t="shared" si="1"/>
        <v>1922442.54</v>
      </c>
      <c r="F310" s="41">
        <v>0.0</v>
      </c>
      <c r="G310" s="41">
        <v>810451.95</v>
      </c>
      <c r="H310" s="41">
        <v>2923978.97</v>
      </c>
      <c r="I310" s="40">
        <f t="shared" si="2"/>
        <v>3734430.92</v>
      </c>
      <c r="J310" s="41">
        <v>0.0</v>
      </c>
      <c r="K310" s="41">
        <v>0.0</v>
      </c>
      <c r="L310" s="41">
        <v>0.0</v>
      </c>
      <c r="M310" s="40">
        <f t="shared" si="3"/>
        <v>0</v>
      </c>
      <c r="N310" s="41">
        <v>1481603.51</v>
      </c>
      <c r="O310" s="41">
        <v>244360.87</v>
      </c>
      <c r="P310" s="41">
        <v>0.0</v>
      </c>
      <c r="Q310" s="40">
        <f t="shared" si="4"/>
        <v>1725964.38</v>
      </c>
    </row>
    <row r="311" ht="15.75" customHeight="1">
      <c r="A311" s="38">
        <v>307.0</v>
      </c>
      <c r="B311" s="39">
        <v>768282.81</v>
      </c>
      <c r="C311" s="39">
        <v>179981.49</v>
      </c>
      <c r="D311" s="39">
        <v>0.0</v>
      </c>
      <c r="E311" s="40">
        <f t="shared" si="1"/>
        <v>948264.3</v>
      </c>
      <c r="F311" s="39">
        <v>0.0</v>
      </c>
      <c r="G311" s="39">
        <v>314868.52</v>
      </c>
      <c r="H311" s="39">
        <v>0.0</v>
      </c>
      <c r="I311" s="40">
        <f t="shared" si="2"/>
        <v>314868.52</v>
      </c>
      <c r="J311" s="39">
        <v>0.0</v>
      </c>
      <c r="K311" s="39">
        <v>0.0</v>
      </c>
      <c r="L311" s="39">
        <v>0.0</v>
      </c>
      <c r="M311" s="40">
        <f t="shared" si="3"/>
        <v>0</v>
      </c>
      <c r="N311" s="39">
        <v>0.0</v>
      </c>
      <c r="O311" s="39">
        <v>167504.91</v>
      </c>
      <c r="P311" s="39">
        <v>0.0</v>
      </c>
      <c r="Q311" s="40">
        <f t="shared" si="4"/>
        <v>167504.91</v>
      </c>
    </row>
    <row r="312" ht="15.75" customHeight="1">
      <c r="A312" s="38">
        <v>308.0</v>
      </c>
      <c r="B312" s="41">
        <v>0.0</v>
      </c>
      <c r="C312" s="41">
        <v>194955.59</v>
      </c>
      <c r="D312" s="41">
        <v>0.0</v>
      </c>
      <c r="E312" s="40">
        <f t="shared" si="1"/>
        <v>194955.59</v>
      </c>
      <c r="F312" s="41">
        <v>0.0</v>
      </c>
      <c r="G312" s="41">
        <v>0.0</v>
      </c>
      <c r="H312" s="41">
        <v>0.0</v>
      </c>
      <c r="I312" s="40">
        <f t="shared" si="2"/>
        <v>0</v>
      </c>
      <c r="J312" s="41">
        <v>0.0</v>
      </c>
      <c r="K312" s="41">
        <v>0.0</v>
      </c>
      <c r="L312" s="41">
        <v>1226204.91</v>
      </c>
      <c r="M312" s="40">
        <f t="shared" si="3"/>
        <v>1226204.91</v>
      </c>
      <c r="N312" s="41">
        <v>0.0</v>
      </c>
      <c r="O312" s="41">
        <v>399771.7</v>
      </c>
      <c r="P312" s="41">
        <v>0.0</v>
      </c>
      <c r="Q312" s="40">
        <f t="shared" si="4"/>
        <v>399771.7</v>
      </c>
    </row>
    <row r="313" ht="15.75" customHeight="1">
      <c r="A313" s="38">
        <v>309.0</v>
      </c>
      <c r="B313" s="39">
        <v>379438.59</v>
      </c>
      <c r="C313" s="39">
        <v>242852.71</v>
      </c>
      <c r="D313" s="39">
        <v>0.0</v>
      </c>
      <c r="E313" s="40">
        <f t="shared" si="1"/>
        <v>622291.3</v>
      </c>
      <c r="F313" s="39">
        <v>0.0</v>
      </c>
      <c r="G313" s="39">
        <v>0.0</v>
      </c>
      <c r="H313" s="39">
        <v>0.0</v>
      </c>
      <c r="I313" s="40">
        <f t="shared" si="2"/>
        <v>0</v>
      </c>
      <c r="J313" s="39">
        <v>1047744.93</v>
      </c>
      <c r="K313" s="39">
        <v>823011.22</v>
      </c>
      <c r="L313" s="39">
        <v>0.0</v>
      </c>
      <c r="M313" s="40">
        <f t="shared" si="3"/>
        <v>1870756.15</v>
      </c>
      <c r="N313" s="39">
        <v>0.0</v>
      </c>
      <c r="O313" s="39">
        <v>0.0</v>
      </c>
      <c r="P313" s="39">
        <v>0.0</v>
      </c>
      <c r="Q313" s="40">
        <f t="shared" si="4"/>
        <v>0</v>
      </c>
    </row>
    <row r="314" ht="15.75" customHeight="1">
      <c r="A314" s="38">
        <v>310.0</v>
      </c>
      <c r="B314" s="41">
        <v>0.0</v>
      </c>
      <c r="C314" s="41">
        <v>539968.27</v>
      </c>
      <c r="D314" s="41">
        <v>4780141.48</v>
      </c>
      <c r="E314" s="40">
        <f t="shared" si="1"/>
        <v>5320109.75</v>
      </c>
      <c r="F314" s="41">
        <v>0.0</v>
      </c>
      <c r="G314" s="41">
        <v>0.0</v>
      </c>
      <c r="H314" s="41">
        <v>2546667.59</v>
      </c>
      <c r="I314" s="40">
        <f t="shared" si="2"/>
        <v>2546667.59</v>
      </c>
      <c r="J314" s="41">
        <v>988901.09</v>
      </c>
      <c r="K314" s="41">
        <v>1299716.74</v>
      </c>
      <c r="L314" s="41">
        <v>2395107.83</v>
      </c>
      <c r="M314" s="40">
        <f t="shared" si="3"/>
        <v>4683725.66</v>
      </c>
      <c r="N314" s="41">
        <v>0.0</v>
      </c>
      <c r="O314" s="41">
        <v>0.0</v>
      </c>
      <c r="P314" s="41">
        <v>0.0</v>
      </c>
      <c r="Q314" s="40">
        <f t="shared" si="4"/>
        <v>0</v>
      </c>
    </row>
    <row r="315" ht="15.75" customHeight="1">
      <c r="A315" s="38">
        <v>311.0</v>
      </c>
      <c r="B315" s="39">
        <v>0.0</v>
      </c>
      <c r="C315" s="39">
        <v>49501.51</v>
      </c>
      <c r="D315" s="39">
        <v>0.0</v>
      </c>
      <c r="E315" s="40">
        <f t="shared" si="1"/>
        <v>49501.51</v>
      </c>
      <c r="F315" s="39">
        <v>0.0</v>
      </c>
      <c r="G315" s="39">
        <v>0.0</v>
      </c>
      <c r="H315" s="39">
        <v>0.0</v>
      </c>
      <c r="I315" s="40">
        <f t="shared" si="2"/>
        <v>0</v>
      </c>
      <c r="J315" s="39">
        <v>0.0</v>
      </c>
      <c r="K315" s="39">
        <v>0.0</v>
      </c>
      <c r="L315" s="39">
        <v>0.0</v>
      </c>
      <c r="M315" s="40">
        <f t="shared" si="3"/>
        <v>0</v>
      </c>
      <c r="N315" s="39">
        <v>157382.29</v>
      </c>
      <c r="O315" s="39">
        <v>346255.87</v>
      </c>
      <c r="P315" s="39">
        <v>0.0</v>
      </c>
      <c r="Q315" s="40">
        <f t="shared" si="4"/>
        <v>503638.16</v>
      </c>
    </row>
    <row r="316" ht="15.75" customHeight="1">
      <c r="A316" s="38">
        <v>312.0</v>
      </c>
      <c r="B316" s="41">
        <v>0.0</v>
      </c>
      <c r="C316" s="41">
        <v>633019.32</v>
      </c>
      <c r="D316" s="41">
        <v>0.0</v>
      </c>
      <c r="E316" s="40">
        <f t="shared" si="1"/>
        <v>633019.32</v>
      </c>
      <c r="F316" s="41">
        <v>0.0</v>
      </c>
      <c r="G316" s="41">
        <v>221326.19</v>
      </c>
      <c r="H316" s="41">
        <v>2642441.9</v>
      </c>
      <c r="I316" s="40">
        <f t="shared" si="2"/>
        <v>2863768.09</v>
      </c>
      <c r="J316" s="41">
        <v>0.0</v>
      </c>
      <c r="K316" s="41">
        <v>104910.84</v>
      </c>
      <c r="L316" s="41">
        <v>0.0</v>
      </c>
      <c r="M316" s="40">
        <f t="shared" si="3"/>
        <v>104910.84</v>
      </c>
      <c r="N316" s="41">
        <v>0.0</v>
      </c>
      <c r="O316" s="41">
        <v>0.0</v>
      </c>
      <c r="P316" s="41">
        <v>0.0</v>
      </c>
      <c r="Q316" s="40">
        <f t="shared" si="4"/>
        <v>0</v>
      </c>
    </row>
    <row r="317" ht="15.75" customHeight="1">
      <c r="A317" s="38">
        <v>313.0</v>
      </c>
      <c r="B317" s="39">
        <v>1250975.15</v>
      </c>
      <c r="C317" s="39">
        <v>0.0</v>
      </c>
      <c r="D317" s="39">
        <v>934548.03</v>
      </c>
      <c r="E317" s="40">
        <f t="shared" si="1"/>
        <v>2185523.18</v>
      </c>
      <c r="F317" s="39">
        <v>0.0</v>
      </c>
      <c r="G317" s="39">
        <v>0.0</v>
      </c>
      <c r="H317" s="39">
        <v>0.0</v>
      </c>
      <c r="I317" s="40">
        <f t="shared" si="2"/>
        <v>0</v>
      </c>
      <c r="J317" s="39">
        <v>0.0</v>
      </c>
      <c r="K317" s="39">
        <v>0.0</v>
      </c>
      <c r="L317" s="39">
        <v>0.0</v>
      </c>
      <c r="M317" s="40">
        <f t="shared" si="3"/>
        <v>0</v>
      </c>
      <c r="N317" s="39">
        <v>0.0</v>
      </c>
      <c r="O317" s="39">
        <v>0.0</v>
      </c>
      <c r="P317" s="39">
        <v>0.0</v>
      </c>
      <c r="Q317" s="40">
        <f t="shared" si="4"/>
        <v>0</v>
      </c>
    </row>
    <row r="318" ht="15.75" customHeight="1">
      <c r="A318" s="38">
        <v>314.0</v>
      </c>
      <c r="B318" s="41">
        <v>1055836.39</v>
      </c>
      <c r="C318" s="41">
        <v>224581.32</v>
      </c>
      <c r="D318" s="41">
        <v>9269295.78</v>
      </c>
      <c r="E318" s="40">
        <f t="shared" si="1"/>
        <v>10549713.49</v>
      </c>
      <c r="F318" s="41">
        <v>2614681.19</v>
      </c>
      <c r="G318" s="41">
        <v>0.0</v>
      </c>
      <c r="H318" s="41">
        <v>0.0</v>
      </c>
      <c r="I318" s="40">
        <f t="shared" si="2"/>
        <v>2614681.19</v>
      </c>
      <c r="J318" s="41">
        <v>2969327.56</v>
      </c>
      <c r="K318" s="41">
        <v>144710.65</v>
      </c>
      <c r="L318" s="41">
        <v>0.0</v>
      </c>
      <c r="M318" s="40">
        <f t="shared" si="3"/>
        <v>3114038.21</v>
      </c>
      <c r="N318" s="41">
        <v>0.0</v>
      </c>
      <c r="O318" s="41">
        <v>0.0</v>
      </c>
      <c r="P318" s="41">
        <v>0.0</v>
      </c>
      <c r="Q318" s="40">
        <f t="shared" si="4"/>
        <v>0</v>
      </c>
    </row>
    <row r="319" ht="15.75" customHeight="1">
      <c r="A319" s="38">
        <v>315.0</v>
      </c>
      <c r="B319" s="39">
        <v>1.098769766E7</v>
      </c>
      <c r="C319" s="39">
        <v>0.0</v>
      </c>
      <c r="D319" s="39">
        <v>2652093.49</v>
      </c>
      <c r="E319" s="40">
        <f t="shared" si="1"/>
        <v>13639791.15</v>
      </c>
      <c r="F319" s="39">
        <v>0.0</v>
      </c>
      <c r="G319" s="39">
        <v>0.0</v>
      </c>
      <c r="H319" s="39">
        <v>0.0</v>
      </c>
      <c r="I319" s="40">
        <f t="shared" si="2"/>
        <v>0</v>
      </c>
      <c r="J319" s="39">
        <v>0.0</v>
      </c>
      <c r="K319" s="39">
        <v>60732.1</v>
      </c>
      <c r="L319" s="39">
        <v>3180529.66</v>
      </c>
      <c r="M319" s="40">
        <f t="shared" si="3"/>
        <v>3241261.76</v>
      </c>
      <c r="N319" s="39">
        <v>586411.32</v>
      </c>
      <c r="O319" s="39">
        <v>0.0</v>
      </c>
      <c r="P319" s="39">
        <v>0.0</v>
      </c>
      <c r="Q319" s="40">
        <f t="shared" si="4"/>
        <v>586411.32</v>
      </c>
    </row>
    <row r="320" ht="15.75" customHeight="1">
      <c r="A320" s="38">
        <v>316.0</v>
      </c>
      <c r="B320" s="41">
        <v>0.0</v>
      </c>
      <c r="C320" s="41">
        <v>1143049.44</v>
      </c>
      <c r="D320" s="41">
        <v>0.0</v>
      </c>
      <c r="E320" s="40">
        <f t="shared" si="1"/>
        <v>1143049.44</v>
      </c>
      <c r="F320" s="41">
        <v>0.0</v>
      </c>
      <c r="G320" s="41">
        <v>0.0</v>
      </c>
      <c r="H320" s="41">
        <v>0.0</v>
      </c>
      <c r="I320" s="40">
        <f t="shared" si="2"/>
        <v>0</v>
      </c>
      <c r="J320" s="41">
        <v>0.0</v>
      </c>
      <c r="K320" s="41">
        <v>0.0</v>
      </c>
      <c r="L320" s="41">
        <v>0.0</v>
      </c>
      <c r="M320" s="40">
        <f t="shared" si="3"/>
        <v>0</v>
      </c>
      <c r="N320" s="41">
        <v>4225660.77</v>
      </c>
      <c r="O320" s="41">
        <v>40034.29</v>
      </c>
      <c r="P320" s="41">
        <v>0.0</v>
      </c>
      <c r="Q320" s="40">
        <f t="shared" si="4"/>
        <v>4265695.06</v>
      </c>
    </row>
    <row r="321" ht="15.75" customHeight="1">
      <c r="A321" s="38">
        <v>317.0</v>
      </c>
      <c r="B321" s="39">
        <v>0.0</v>
      </c>
      <c r="C321" s="39">
        <v>0.0</v>
      </c>
      <c r="D321" s="39">
        <v>2335990.78</v>
      </c>
      <c r="E321" s="40">
        <f t="shared" si="1"/>
        <v>2335990.78</v>
      </c>
      <c r="F321" s="39">
        <v>107851.33</v>
      </c>
      <c r="G321" s="39">
        <v>201253.51</v>
      </c>
      <c r="H321" s="39">
        <v>0.0</v>
      </c>
      <c r="I321" s="40">
        <f t="shared" si="2"/>
        <v>309104.84</v>
      </c>
      <c r="J321" s="39">
        <v>0.0</v>
      </c>
      <c r="K321" s="39">
        <v>120091.38</v>
      </c>
      <c r="L321" s="39">
        <v>1183538.97</v>
      </c>
      <c r="M321" s="40">
        <f t="shared" si="3"/>
        <v>1303630.35</v>
      </c>
      <c r="N321" s="39">
        <v>0.0</v>
      </c>
      <c r="O321" s="39">
        <v>342175.62</v>
      </c>
      <c r="P321" s="39">
        <v>0.0</v>
      </c>
      <c r="Q321" s="40">
        <f t="shared" si="4"/>
        <v>342175.62</v>
      </c>
    </row>
    <row r="322" ht="15.75" customHeight="1">
      <c r="A322" s="38">
        <v>318.0</v>
      </c>
      <c r="B322" s="41">
        <v>1111995.91</v>
      </c>
      <c r="C322" s="41">
        <v>209455.83</v>
      </c>
      <c r="D322" s="41">
        <v>0.0</v>
      </c>
      <c r="E322" s="40">
        <f t="shared" si="1"/>
        <v>1321451.74</v>
      </c>
      <c r="F322" s="41">
        <v>0.0</v>
      </c>
      <c r="G322" s="41">
        <v>0.0</v>
      </c>
      <c r="H322" s="41">
        <v>0.0</v>
      </c>
      <c r="I322" s="40">
        <f t="shared" si="2"/>
        <v>0</v>
      </c>
      <c r="J322" s="41">
        <v>317888.7</v>
      </c>
      <c r="K322" s="41">
        <v>815051.81</v>
      </c>
      <c r="L322" s="41">
        <v>1638797.35</v>
      </c>
      <c r="M322" s="40">
        <f t="shared" si="3"/>
        <v>2771737.86</v>
      </c>
      <c r="N322" s="41">
        <v>441455.31</v>
      </c>
      <c r="O322" s="41">
        <v>0.0</v>
      </c>
      <c r="P322" s="41">
        <v>0.0</v>
      </c>
      <c r="Q322" s="40">
        <f t="shared" si="4"/>
        <v>441455.31</v>
      </c>
    </row>
    <row r="323" ht="15.75" customHeight="1">
      <c r="A323" s="38">
        <v>319.0</v>
      </c>
      <c r="B323" s="39">
        <v>0.0</v>
      </c>
      <c r="C323" s="39">
        <v>0.0</v>
      </c>
      <c r="D323" s="39">
        <v>0.0</v>
      </c>
      <c r="E323" s="40">
        <f t="shared" si="1"/>
        <v>0</v>
      </c>
      <c r="F323" s="39">
        <v>0.0</v>
      </c>
      <c r="G323" s="39">
        <v>235133.58</v>
      </c>
      <c r="H323" s="39">
        <v>0.0</v>
      </c>
      <c r="I323" s="40">
        <f t="shared" si="2"/>
        <v>235133.58</v>
      </c>
      <c r="J323" s="39">
        <v>0.0</v>
      </c>
      <c r="K323" s="39">
        <v>0.0</v>
      </c>
      <c r="L323" s="39">
        <v>2116822.83</v>
      </c>
      <c r="M323" s="40">
        <f t="shared" si="3"/>
        <v>2116822.83</v>
      </c>
      <c r="N323" s="39">
        <v>1437128.35</v>
      </c>
      <c r="O323" s="39">
        <v>0.0</v>
      </c>
      <c r="P323" s="39">
        <v>0.0</v>
      </c>
      <c r="Q323" s="40">
        <f t="shared" si="4"/>
        <v>1437128.35</v>
      </c>
    </row>
    <row r="324" ht="15.75" customHeight="1">
      <c r="A324" s="38">
        <v>320.0</v>
      </c>
      <c r="B324" s="41">
        <v>921019.77</v>
      </c>
      <c r="C324" s="41">
        <v>592209.11</v>
      </c>
      <c r="D324" s="41">
        <v>0.0</v>
      </c>
      <c r="E324" s="40">
        <f t="shared" si="1"/>
        <v>1513228.88</v>
      </c>
      <c r="F324" s="41">
        <v>207777.3</v>
      </c>
      <c r="G324" s="41">
        <v>1237500.17</v>
      </c>
      <c r="H324" s="41">
        <v>0.0</v>
      </c>
      <c r="I324" s="40">
        <f t="shared" si="2"/>
        <v>1445277.47</v>
      </c>
      <c r="J324" s="41">
        <v>0.0</v>
      </c>
      <c r="K324" s="41">
        <v>0.0</v>
      </c>
      <c r="L324" s="41">
        <v>5275666.27</v>
      </c>
      <c r="M324" s="40">
        <f t="shared" si="3"/>
        <v>5275666.27</v>
      </c>
      <c r="N324" s="41">
        <v>0.0</v>
      </c>
      <c r="O324" s="41">
        <v>0.0</v>
      </c>
      <c r="P324" s="41">
        <v>0.0</v>
      </c>
      <c r="Q324" s="40">
        <f t="shared" si="4"/>
        <v>0</v>
      </c>
    </row>
    <row r="325" ht="15.75" customHeight="1">
      <c r="A325" s="38">
        <v>321.0</v>
      </c>
      <c r="B325" s="39">
        <v>1350099.22</v>
      </c>
      <c r="C325" s="39">
        <v>919739.03</v>
      </c>
      <c r="D325" s="39">
        <v>0.0</v>
      </c>
      <c r="E325" s="40">
        <f t="shared" si="1"/>
        <v>2269838.25</v>
      </c>
      <c r="F325" s="39">
        <v>744648.98</v>
      </c>
      <c r="G325" s="39">
        <v>192958.71</v>
      </c>
      <c r="H325" s="39">
        <v>0.0</v>
      </c>
      <c r="I325" s="40">
        <f t="shared" si="2"/>
        <v>937607.69</v>
      </c>
      <c r="J325" s="39">
        <v>1.190483248E7</v>
      </c>
      <c r="K325" s="39">
        <v>252854.88</v>
      </c>
      <c r="L325" s="39">
        <v>5668196.42</v>
      </c>
      <c r="M325" s="40">
        <f t="shared" si="3"/>
        <v>17825883.78</v>
      </c>
      <c r="N325" s="39">
        <v>2076105.99</v>
      </c>
      <c r="O325" s="39">
        <v>0.0</v>
      </c>
      <c r="P325" s="39">
        <v>0.0</v>
      </c>
      <c r="Q325" s="40">
        <f t="shared" si="4"/>
        <v>2076105.99</v>
      </c>
    </row>
    <row r="326" ht="15.75" customHeight="1">
      <c r="A326" s="38">
        <v>322.0</v>
      </c>
      <c r="B326" s="41">
        <v>362548.21</v>
      </c>
      <c r="C326" s="41">
        <v>560895.78</v>
      </c>
      <c r="D326" s="41">
        <v>0.0</v>
      </c>
      <c r="E326" s="40">
        <f t="shared" si="1"/>
        <v>923443.99</v>
      </c>
      <c r="F326" s="41">
        <v>0.0</v>
      </c>
      <c r="G326" s="41">
        <v>0.0</v>
      </c>
      <c r="H326" s="41">
        <v>0.0</v>
      </c>
      <c r="I326" s="40">
        <f t="shared" si="2"/>
        <v>0</v>
      </c>
      <c r="J326" s="41">
        <v>928445.54</v>
      </c>
      <c r="K326" s="41">
        <v>0.0</v>
      </c>
      <c r="L326" s="41">
        <v>0.0</v>
      </c>
      <c r="M326" s="40">
        <f t="shared" si="3"/>
        <v>928445.54</v>
      </c>
      <c r="N326" s="41">
        <v>0.0</v>
      </c>
      <c r="O326" s="41">
        <v>0.0</v>
      </c>
      <c r="P326" s="41">
        <v>0.0</v>
      </c>
      <c r="Q326" s="40">
        <f t="shared" si="4"/>
        <v>0</v>
      </c>
    </row>
    <row r="327" ht="15.75" customHeight="1">
      <c r="A327" s="38">
        <v>323.0</v>
      </c>
      <c r="B327" s="39">
        <v>452888.88</v>
      </c>
      <c r="C327" s="39">
        <v>0.0</v>
      </c>
      <c r="D327" s="39">
        <v>0.0</v>
      </c>
      <c r="E327" s="40">
        <f t="shared" si="1"/>
        <v>452888.88</v>
      </c>
      <c r="F327" s="39">
        <v>0.0</v>
      </c>
      <c r="G327" s="39">
        <v>488006.02</v>
      </c>
      <c r="H327" s="39">
        <v>0.0</v>
      </c>
      <c r="I327" s="40">
        <f t="shared" si="2"/>
        <v>488006.02</v>
      </c>
      <c r="J327" s="39">
        <v>637109.99</v>
      </c>
      <c r="K327" s="39">
        <v>1329326.07</v>
      </c>
      <c r="L327" s="39">
        <v>0.0</v>
      </c>
      <c r="M327" s="40">
        <f t="shared" si="3"/>
        <v>1966436.06</v>
      </c>
      <c r="N327" s="39">
        <v>2245269.05</v>
      </c>
      <c r="O327" s="39">
        <v>0.0</v>
      </c>
      <c r="P327" s="39">
        <v>527622.7</v>
      </c>
      <c r="Q327" s="40">
        <f t="shared" si="4"/>
        <v>2772891.75</v>
      </c>
    </row>
    <row r="328" ht="15.75" customHeight="1">
      <c r="A328" s="38">
        <v>324.0</v>
      </c>
      <c r="B328" s="41">
        <v>0.0</v>
      </c>
      <c r="C328" s="41">
        <v>240485.02</v>
      </c>
      <c r="D328" s="41">
        <v>0.0</v>
      </c>
      <c r="E328" s="40">
        <f t="shared" si="1"/>
        <v>240485.02</v>
      </c>
      <c r="F328" s="41">
        <v>1615369.67</v>
      </c>
      <c r="G328" s="41">
        <v>0.0</v>
      </c>
      <c r="H328" s="41">
        <v>0.0</v>
      </c>
      <c r="I328" s="40">
        <f t="shared" si="2"/>
        <v>1615369.67</v>
      </c>
      <c r="J328" s="41">
        <v>0.0</v>
      </c>
      <c r="K328" s="41">
        <v>0.0</v>
      </c>
      <c r="L328" s="41">
        <v>0.0</v>
      </c>
      <c r="M328" s="40">
        <f t="shared" si="3"/>
        <v>0</v>
      </c>
      <c r="N328" s="41">
        <v>0.0</v>
      </c>
      <c r="O328" s="41">
        <v>1417843.27</v>
      </c>
      <c r="P328" s="41">
        <v>0.0</v>
      </c>
      <c r="Q328" s="40">
        <f t="shared" si="4"/>
        <v>1417843.27</v>
      </c>
    </row>
    <row r="329" ht="15.75" customHeight="1">
      <c r="A329" s="38">
        <v>325.0</v>
      </c>
      <c r="B329" s="39">
        <v>0.0</v>
      </c>
      <c r="C329" s="39">
        <v>0.0</v>
      </c>
      <c r="D329" s="39">
        <v>0.0</v>
      </c>
      <c r="E329" s="40">
        <f t="shared" si="1"/>
        <v>0</v>
      </c>
      <c r="F329" s="39">
        <v>0.0</v>
      </c>
      <c r="G329" s="39">
        <v>129619.45</v>
      </c>
      <c r="H329" s="39">
        <v>3397461.16</v>
      </c>
      <c r="I329" s="40">
        <f t="shared" si="2"/>
        <v>3527080.61</v>
      </c>
      <c r="J329" s="39">
        <v>1591799.06</v>
      </c>
      <c r="K329" s="39">
        <v>0.0</v>
      </c>
      <c r="L329" s="39">
        <v>0.0</v>
      </c>
      <c r="M329" s="40">
        <f t="shared" si="3"/>
        <v>1591799.06</v>
      </c>
      <c r="N329" s="39">
        <v>0.0</v>
      </c>
      <c r="O329" s="39">
        <v>0.0</v>
      </c>
      <c r="P329" s="39">
        <v>0.0</v>
      </c>
      <c r="Q329" s="40">
        <f t="shared" si="4"/>
        <v>0</v>
      </c>
    </row>
    <row r="330" ht="15.75" customHeight="1">
      <c r="A330" s="38">
        <v>326.0</v>
      </c>
      <c r="B330" s="41">
        <v>0.0</v>
      </c>
      <c r="C330" s="41">
        <v>212842.33</v>
      </c>
      <c r="D330" s="41">
        <v>0.0</v>
      </c>
      <c r="E330" s="40">
        <f t="shared" si="1"/>
        <v>212842.33</v>
      </c>
      <c r="F330" s="41">
        <v>830041.67</v>
      </c>
      <c r="G330" s="41">
        <v>0.0</v>
      </c>
      <c r="H330" s="41">
        <v>0.0</v>
      </c>
      <c r="I330" s="40">
        <f t="shared" si="2"/>
        <v>830041.67</v>
      </c>
      <c r="J330" s="41">
        <v>384623.73</v>
      </c>
      <c r="K330" s="41">
        <v>0.0</v>
      </c>
      <c r="L330" s="41">
        <v>0.0</v>
      </c>
      <c r="M330" s="40">
        <f t="shared" si="3"/>
        <v>384623.73</v>
      </c>
      <c r="N330" s="41">
        <v>1.823854359E7</v>
      </c>
      <c r="O330" s="41">
        <v>0.0</v>
      </c>
      <c r="P330" s="41">
        <v>0.0</v>
      </c>
      <c r="Q330" s="40">
        <f t="shared" si="4"/>
        <v>18238543.59</v>
      </c>
    </row>
    <row r="331" ht="15.75" customHeight="1">
      <c r="A331" s="38">
        <v>327.0</v>
      </c>
      <c r="B331" s="39">
        <v>0.0</v>
      </c>
      <c r="C331" s="39">
        <v>179961.64</v>
      </c>
      <c r="D331" s="39">
        <v>0.0</v>
      </c>
      <c r="E331" s="40">
        <f t="shared" si="1"/>
        <v>179961.64</v>
      </c>
      <c r="F331" s="39">
        <v>0.0</v>
      </c>
      <c r="G331" s="39">
        <v>0.0</v>
      </c>
      <c r="H331" s="39">
        <v>0.0</v>
      </c>
      <c r="I331" s="40">
        <f t="shared" si="2"/>
        <v>0</v>
      </c>
      <c r="J331" s="39">
        <v>0.0</v>
      </c>
      <c r="K331" s="39">
        <v>0.0</v>
      </c>
      <c r="L331" s="39">
        <v>0.0</v>
      </c>
      <c r="M331" s="40">
        <f t="shared" si="3"/>
        <v>0</v>
      </c>
      <c r="N331" s="39">
        <v>0.0</v>
      </c>
      <c r="O331" s="39">
        <v>376863.16</v>
      </c>
      <c r="P331" s="39">
        <v>0.0</v>
      </c>
      <c r="Q331" s="40">
        <f t="shared" si="4"/>
        <v>376863.16</v>
      </c>
    </row>
    <row r="332" ht="15.75" customHeight="1">
      <c r="A332" s="38">
        <v>328.0</v>
      </c>
      <c r="B332" s="41">
        <v>3484691.74</v>
      </c>
      <c r="C332" s="41">
        <v>1493281.14</v>
      </c>
      <c r="D332" s="41">
        <v>0.0</v>
      </c>
      <c r="E332" s="40">
        <f t="shared" si="1"/>
        <v>4977972.88</v>
      </c>
      <c r="F332" s="41">
        <v>1020305.24</v>
      </c>
      <c r="G332" s="41">
        <v>697326.44</v>
      </c>
      <c r="H332" s="41">
        <v>0.0</v>
      </c>
      <c r="I332" s="40">
        <f t="shared" si="2"/>
        <v>1717631.68</v>
      </c>
      <c r="J332" s="41">
        <v>0.0</v>
      </c>
      <c r="K332" s="41">
        <v>269502.19</v>
      </c>
      <c r="L332" s="41">
        <v>1402560.99</v>
      </c>
      <c r="M332" s="40">
        <f t="shared" si="3"/>
        <v>1672063.18</v>
      </c>
      <c r="N332" s="41">
        <v>0.0</v>
      </c>
      <c r="O332" s="41">
        <v>713083.02</v>
      </c>
      <c r="P332" s="41">
        <v>0.0</v>
      </c>
      <c r="Q332" s="40">
        <f t="shared" si="4"/>
        <v>713083.02</v>
      </c>
    </row>
    <row r="333" ht="15.75" customHeight="1">
      <c r="A333" s="38">
        <v>329.0</v>
      </c>
      <c r="B333" s="39">
        <v>1434078.16</v>
      </c>
      <c r="C333" s="39">
        <v>87170.63</v>
      </c>
      <c r="D333" s="39">
        <v>0.0</v>
      </c>
      <c r="E333" s="40">
        <f t="shared" si="1"/>
        <v>1521248.79</v>
      </c>
      <c r="F333" s="39">
        <v>0.0</v>
      </c>
      <c r="G333" s="39">
        <v>0.0</v>
      </c>
      <c r="H333" s="39">
        <v>0.0</v>
      </c>
      <c r="I333" s="40">
        <f t="shared" si="2"/>
        <v>0</v>
      </c>
      <c r="J333" s="39">
        <v>0.0</v>
      </c>
      <c r="K333" s="39">
        <v>260502.03</v>
      </c>
      <c r="L333" s="39">
        <v>4701562.18</v>
      </c>
      <c r="M333" s="40">
        <f t="shared" si="3"/>
        <v>4962064.21</v>
      </c>
      <c r="N333" s="39">
        <v>1753567.33</v>
      </c>
      <c r="O333" s="39">
        <v>0.0</v>
      </c>
      <c r="P333" s="39">
        <v>0.0</v>
      </c>
      <c r="Q333" s="40">
        <f t="shared" si="4"/>
        <v>1753567.33</v>
      </c>
    </row>
    <row r="334" ht="15.75" customHeight="1">
      <c r="A334" s="38">
        <v>330.0</v>
      </c>
      <c r="B334" s="41">
        <v>648271.27</v>
      </c>
      <c r="C334" s="41">
        <v>0.0</v>
      </c>
      <c r="D334" s="41">
        <v>270454.66</v>
      </c>
      <c r="E334" s="40">
        <f t="shared" si="1"/>
        <v>918725.93</v>
      </c>
      <c r="F334" s="41">
        <v>0.0</v>
      </c>
      <c r="G334" s="41">
        <v>789838.48</v>
      </c>
      <c r="H334" s="41">
        <v>0.0</v>
      </c>
      <c r="I334" s="40">
        <f t="shared" si="2"/>
        <v>789838.48</v>
      </c>
      <c r="J334" s="41">
        <v>0.0</v>
      </c>
      <c r="K334" s="41">
        <v>745426.11</v>
      </c>
      <c r="L334" s="41">
        <v>0.0</v>
      </c>
      <c r="M334" s="40">
        <f t="shared" si="3"/>
        <v>745426.11</v>
      </c>
      <c r="N334" s="41">
        <v>0.0</v>
      </c>
      <c r="O334" s="41">
        <v>0.0</v>
      </c>
      <c r="P334" s="41">
        <v>0.0</v>
      </c>
      <c r="Q334" s="40">
        <f t="shared" si="4"/>
        <v>0</v>
      </c>
    </row>
    <row r="335" ht="15.75" customHeight="1">
      <c r="A335" s="38">
        <v>331.0</v>
      </c>
      <c r="B335" s="39">
        <v>0.0</v>
      </c>
      <c r="C335" s="39">
        <v>190224.87</v>
      </c>
      <c r="D335" s="39">
        <v>0.0</v>
      </c>
      <c r="E335" s="40">
        <f t="shared" si="1"/>
        <v>190224.87</v>
      </c>
      <c r="F335" s="39">
        <v>0.0</v>
      </c>
      <c r="G335" s="39">
        <v>563805.71</v>
      </c>
      <c r="H335" s="39">
        <v>0.0</v>
      </c>
      <c r="I335" s="40">
        <f t="shared" si="2"/>
        <v>563805.71</v>
      </c>
      <c r="J335" s="39">
        <v>1216514.99</v>
      </c>
      <c r="K335" s="39">
        <v>176931.63</v>
      </c>
      <c r="L335" s="39">
        <v>0.0</v>
      </c>
      <c r="M335" s="40">
        <f t="shared" si="3"/>
        <v>1393446.62</v>
      </c>
      <c r="N335" s="39">
        <v>1550485.86</v>
      </c>
      <c r="O335" s="39">
        <v>0.0</v>
      </c>
      <c r="P335" s="39">
        <v>1235296.92</v>
      </c>
      <c r="Q335" s="40">
        <f t="shared" si="4"/>
        <v>2785782.78</v>
      </c>
    </row>
    <row r="336" ht="15.75" customHeight="1">
      <c r="A336" s="38">
        <v>332.0</v>
      </c>
      <c r="B336" s="41">
        <v>721813.73</v>
      </c>
      <c r="C336" s="41">
        <v>0.0</v>
      </c>
      <c r="D336" s="41">
        <v>0.0</v>
      </c>
      <c r="E336" s="40">
        <f t="shared" si="1"/>
        <v>721813.73</v>
      </c>
      <c r="F336" s="41">
        <v>0.0</v>
      </c>
      <c r="G336" s="41">
        <v>1128711.57</v>
      </c>
      <c r="H336" s="41">
        <v>0.0</v>
      </c>
      <c r="I336" s="40">
        <f t="shared" si="2"/>
        <v>1128711.57</v>
      </c>
      <c r="J336" s="41">
        <v>0.0</v>
      </c>
      <c r="K336" s="41">
        <v>79871.35</v>
      </c>
      <c r="L336" s="41">
        <v>0.0</v>
      </c>
      <c r="M336" s="40">
        <f t="shared" si="3"/>
        <v>79871.35</v>
      </c>
      <c r="N336" s="41">
        <v>0.0</v>
      </c>
      <c r="O336" s="41">
        <v>354892.61</v>
      </c>
      <c r="P336" s="41">
        <v>0.0</v>
      </c>
      <c r="Q336" s="40">
        <f t="shared" si="4"/>
        <v>354892.61</v>
      </c>
    </row>
    <row r="337" ht="15.75" customHeight="1">
      <c r="A337" s="38">
        <v>333.0</v>
      </c>
      <c r="B337" s="39">
        <v>1.038340615E7</v>
      </c>
      <c r="C337" s="39">
        <v>322772.1</v>
      </c>
      <c r="D337" s="39">
        <v>1997596.49</v>
      </c>
      <c r="E337" s="40">
        <f t="shared" si="1"/>
        <v>12703774.74</v>
      </c>
      <c r="F337" s="39">
        <v>564906.85</v>
      </c>
      <c r="G337" s="39">
        <v>351091.2</v>
      </c>
      <c r="H337" s="39">
        <v>0.0</v>
      </c>
      <c r="I337" s="40">
        <f t="shared" si="2"/>
        <v>915998.05</v>
      </c>
      <c r="J337" s="39">
        <v>125838.69</v>
      </c>
      <c r="K337" s="39">
        <v>0.0</v>
      </c>
      <c r="L337" s="39">
        <v>0.0</v>
      </c>
      <c r="M337" s="40">
        <f t="shared" si="3"/>
        <v>125838.69</v>
      </c>
      <c r="N337" s="39">
        <v>0.0</v>
      </c>
      <c r="O337" s="39">
        <v>0.0</v>
      </c>
      <c r="P337" s="39">
        <v>0.0</v>
      </c>
      <c r="Q337" s="40">
        <f t="shared" si="4"/>
        <v>0</v>
      </c>
    </row>
    <row r="338" ht="15.75" customHeight="1">
      <c r="A338" s="38">
        <v>334.0</v>
      </c>
      <c r="B338" s="41">
        <v>0.0</v>
      </c>
      <c r="C338" s="41">
        <v>0.0</v>
      </c>
      <c r="D338" s="41">
        <v>0.0</v>
      </c>
      <c r="E338" s="40">
        <f t="shared" si="1"/>
        <v>0</v>
      </c>
      <c r="F338" s="41">
        <v>651233.31</v>
      </c>
      <c r="G338" s="41">
        <v>0.0</v>
      </c>
      <c r="H338" s="41">
        <v>0.0</v>
      </c>
      <c r="I338" s="40">
        <f t="shared" si="2"/>
        <v>651233.31</v>
      </c>
      <c r="J338" s="41">
        <v>0.0</v>
      </c>
      <c r="K338" s="41">
        <v>154893.74</v>
      </c>
      <c r="L338" s="41">
        <v>0.0</v>
      </c>
      <c r="M338" s="40">
        <f t="shared" si="3"/>
        <v>154893.74</v>
      </c>
      <c r="N338" s="41">
        <v>1808270.1</v>
      </c>
      <c r="O338" s="41">
        <v>494548.9</v>
      </c>
      <c r="P338" s="41">
        <v>0.0</v>
      </c>
      <c r="Q338" s="40">
        <f t="shared" si="4"/>
        <v>2302819</v>
      </c>
    </row>
    <row r="339" ht="15.75" customHeight="1">
      <c r="A339" s="38">
        <v>335.0</v>
      </c>
      <c r="B339" s="39">
        <v>0.0</v>
      </c>
      <c r="C339" s="39">
        <v>141010.46</v>
      </c>
      <c r="D339" s="39">
        <v>0.0</v>
      </c>
      <c r="E339" s="40">
        <f t="shared" si="1"/>
        <v>141010.46</v>
      </c>
      <c r="F339" s="39">
        <v>0.0</v>
      </c>
      <c r="G339" s="39">
        <v>0.0</v>
      </c>
      <c r="H339" s="39">
        <v>4628232.46</v>
      </c>
      <c r="I339" s="40">
        <f t="shared" si="2"/>
        <v>4628232.46</v>
      </c>
      <c r="J339" s="39">
        <v>155575.63</v>
      </c>
      <c r="K339" s="39">
        <v>590083.14</v>
      </c>
      <c r="L339" s="39">
        <v>0.0</v>
      </c>
      <c r="M339" s="40">
        <f t="shared" si="3"/>
        <v>745658.77</v>
      </c>
      <c r="N339" s="39">
        <v>0.0</v>
      </c>
      <c r="O339" s="39">
        <v>0.0</v>
      </c>
      <c r="P339" s="39">
        <v>629525.55</v>
      </c>
      <c r="Q339" s="40">
        <f t="shared" si="4"/>
        <v>629525.55</v>
      </c>
    </row>
    <row r="340" ht="15.75" customHeight="1">
      <c r="A340" s="38">
        <v>336.0</v>
      </c>
      <c r="B340" s="41">
        <v>948511.53</v>
      </c>
      <c r="C340" s="41">
        <v>428419.9</v>
      </c>
      <c r="D340" s="41">
        <v>0.0</v>
      </c>
      <c r="E340" s="40">
        <f t="shared" si="1"/>
        <v>1376931.43</v>
      </c>
      <c r="F340" s="41">
        <v>3287699.71</v>
      </c>
      <c r="G340" s="41">
        <v>0.0</v>
      </c>
      <c r="H340" s="41">
        <v>1.220520174E7</v>
      </c>
      <c r="I340" s="40">
        <f t="shared" si="2"/>
        <v>15492901.45</v>
      </c>
      <c r="J340" s="41">
        <v>0.0</v>
      </c>
      <c r="K340" s="41">
        <v>487762.17</v>
      </c>
      <c r="L340" s="41">
        <v>0.0</v>
      </c>
      <c r="M340" s="40">
        <f t="shared" si="3"/>
        <v>487762.17</v>
      </c>
      <c r="N340" s="41">
        <v>1875379.57</v>
      </c>
      <c r="O340" s="41">
        <v>87661.58</v>
      </c>
      <c r="P340" s="41">
        <v>3328082.42</v>
      </c>
      <c r="Q340" s="40">
        <f t="shared" si="4"/>
        <v>5291123.57</v>
      </c>
    </row>
    <row r="341" ht="15.75" customHeight="1">
      <c r="A341" s="38">
        <v>337.0</v>
      </c>
      <c r="B341" s="39">
        <v>0.0</v>
      </c>
      <c r="C341" s="39">
        <v>1421621.56</v>
      </c>
      <c r="D341" s="39">
        <v>0.0</v>
      </c>
      <c r="E341" s="40">
        <f t="shared" si="1"/>
        <v>1421621.56</v>
      </c>
      <c r="F341" s="39">
        <v>0.0</v>
      </c>
      <c r="G341" s="39">
        <v>387930.54</v>
      </c>
      <c r="H341" s="39">
        <v>0.0</v>
      </c>
      <c r="I341" s="40">
        <f t="shared" si="2"/>
        <v>387930.54</v>
      </c>
      <c r="J341" s="39">
        <v>0.0</v>
      </c>
      <c r="K341" s="39">
        <v>324934.24</v>
      </c>
      <c r="L341" s="39">
        <v>0.0</v>
      </c>
      <c r="M341" s="40">
        <f t="shared" si="3"/>
        <v>324934.24</v>
      </c>
      <c r="N341" s="39">
        <v>1528914.84</v>
      </c>
      <c r="O341" s="39">
        <v>0.0</v>
      </c>
      <c r="P341" s="39">
        <v>0.0</v>
      </c>
      <c r="Q341" s="40">
        <f t="shared" si="4"/>
        <v>1528914.84</v>
      </c>
    </row>
    <row r="342" ht="15.75" customHeight="1">
      <c r="A342" s="38">
        <v>338.0</v>
      </c>
      <c r="B342" s="41">
        <v>1160680.49</v>
      </c>
      <c r="C342" s="41">
        <v>0.0</v>
      </c>
      <c r="D342" s="41">
        <v>0.0</v>
      </c>
      <c r="E342" s="40">
        <f t="shared" si="1"/>
        <v>1160680.49</v>
      </c>
      <c r="F342" s="41">
        <v>2455979.24</v>
      </c>
      <c r="G342" s="41">
        <v>1402878.39</v>
      </c>
      <c r="H342" s="41">
        <v>0.0</v>
      </c>
      <c r="I342" s="40">
        <f t="shared" si="2"/>
        <v>3858857.63</v>
      </c>
      <c r="J342" s="41">
        <v>0.0</v>
      </c>
      <c r="K342" s="41">
        <v>778142.66</v>
      </c>
      <c r="L342" s="41">
        <v>0.0</v>
      </c>
      <c r="M342" s="40">
        <f t="shared" si="3"/>
        <v>778142.66</v>
      </c>
      <c r="N342" s="41">
        <v>0.0</v>
      </c>
      <c r="O342" s="41">
        <v>387319.57</v>
      </c>
      <c r="P342" s="41">
        <v>0.0</v>
      </c>
      <c r="Q342" s="40">
        <f t="shared" si="4"/>
        <v>387319.57</v>
      </c>
    </row>
    <row r="343" ht="15.75" customHeight="1">
      <c r="A343" s="38">
        <v>339.0</v>
      </c>
      <c r="B343" s="39">
        <v>0.0</v>
      </c>
      <c r="C343" s="39">
        <v>195912.15</v>
      </c>
      <c r="D343" s="39">
        <v>0.0</v>
      </c>
      <c r="E343" s="40">
        <f t="shared" si="1"/>
        <v>195912.15</v>
      </c>
      <c r="F343" s="39">
        <v>0.0</v>
      </c>
      <c r="G343" s="39">
        <v>0.0</v>
      </c>
      <c r="H343" s="39">
        <v>0.0</v>
      </c>
      <c r="I343" s="40">
        <f t="shared" si="2"/>
        <v>0</v>
      </c>
      <c r="J343" s="39">
        <v>0.0</v>
      </c>
      <c r="K343" s="39">
        <v>0.0</v>
      </c>
      <c r="L343" s="39">
        <v>0.0</v>
      </c>
      <c r="M343" s="40">
        <f t="shared" si="3"/>
        <v>0</v>
      </c>
      <c r="N343" s="39">
        <v>0.0</v>
      </c>
      <c r="O343" s="39">
        <v>0.0</v>
      </c>
      <c r="P343" s="39">
        <v>0.0</v>
      </c>
      <c r="Q343" s="40">
        <f t="shared" si="4"/>
        <v>0</v>
      </c>
    </row>
    <row r="344" ht="15.75" customHeight="1">
      <c r="A344" s="38">
        <v>340.0</v>
      </c>
      <c r="B344" s="41">
        <v>5261646.51</v>
      </c>
      <c r="C344" s="41">
        <v>0.0</v>
      </c>
      <c r="D344" s="41">
        <v>0.0</v>
      </c>
      <c r="E344" s="40">
        <f t="shared" si="1"/>
        <v>5261646.51</v>
      </c>
      <c r="F344" s="41">
        <v>0.0</v>
      </c>
      <c r="G344" s="41">
        <v>1359537.88</v>
      </c>
      <c r="H344" s="41">
        <v>0.0</v>
      </c>
      <c r="I344" s="40">
        <f t="shared" si="2"/>
        <v>1359537.88</v>
      </c>
      <c r="J344" s="41">
        <v>0.0</v>
      </c>
      <c r="K344" s="41">
        <v>484821.1</v>
      </c>
      <c r="L344" s="41">
        <v>0.0</v>
      </c>
      <c r="M344" s="40">
        <f t="shared" si="3"/>
        <v>484821.1</v>
      </c>
      <c r="N344" s="41">
        <v>0.0</v>
      </c>
      <c r="O344" s="41">
        <v>347866.01</v>
      </c>
      <c r="P344" s="41">
        <v>0.0</v>
      </c>
      <c r="Q344" s="40">
        <f t="shared" si="4"/>
        <v>347866.01</v>
      </c>
    </row>
    <row r="345" ht="15.75" customHeight="1">
      <c r="A345" s="38">
        <v>341.0</v>
      </c>
      <c r="B345" s="39">
        <v>1862984.66</v>
      </c>
      <c r="C345" s="39">
        <v>0.0</v>
      </c>
      <c r="D345" s="39">
        <v>0.0</v>
      </c>
      <c r="E345" s="40">
        <f t="shared" si="1"/>
        <v>1862984.66</v>
      </c>
      <c r="F345" s="39">
        <v>0.0</v>
      </c>
      <c r="G345" s="39">
        <v>81456.4</v>
      </c>
      <c r="H345" s="39">
        <v>0.0</v>
      </c>
      <c r="I345" s="40">
        <f t="shared" si="2"/>
        <v>81456.4</v>
      </c>
      <c r="J345" s="39">
        <v>1322599.24</v>
      </c>
      <c r="K345" s="39">
        <v>0.0</v>
      </c>
      <c r="L345" s="39">
        <v>0.0</v>
      </c>
      <c r="M345" s="40">
        <f t="shared" si="3"/>
        <v>1322599.24</v>
      </c>
      <c r="N345" s="39">
        <v>0.0</v>
      </c>
      <c r="O345" s="39">
        <v>566094.41</v>
      </c>
      <c r="P345" s="39">
        <v>0.0</v>
      </c>
      <c r="Q345" s="40">
        <f t="shared" si="4"/>
        <v>566094.41</v>
      </c>
    </row>
    <row r="346" ht="15.75" customHeight="1">
      <c r="A346" s="38">
        <v>342.0</v>
      </c>
      <c r="B346" s="41">
        <v>0.0</v>
      </c>
      <c r="C346" s="41">
        <v>777797.18</v>
      </c>
      <c r="D346" s="41">
        <v>0.0</v>
      </c>
      <c r="E346" s="40">
        <f t="shared" si="1"/>
        <v>777797.18</v>
      </c>
      <c r="F346" s="41">
        <v>2344309.98</v>
      </c>
      <c r="G346" s="41">
        <v>0.0</v>
      </c>
      <c r="H346" s="41">
        <v>0.0</v>
      </c>
      <c r="I346" s="40">
        <f t="shared" si="2"/>
        <v>2344309.98</v>
      </c>
      <c r="J346" s="41">
        <v>1.882956765E7</v>
      </c>
      <c r="K346" s="41">
        <v>100026.59</v>
      </c>
      <c r="L346" s="41">
        <v>0.0</v>
      </c>
      <c r="M346" s="40">
        <f t="shared" si="3"/>
        <v>18929594.24</v>
      </c>
      <c r="N346" s="41">
        <v>7112194.69</v>
      </c>
      <c r="O346" s="41">
        <v>127357.32</v>
      </c>
      <c r="P346" s="41">
        <v>0.0</v>
      </c>
      <c r="Q346" s="40">
        <f t="shared" si="4"/>
        <v>7239552.01</v>
      </c>
    </row>
    <row r="347" ht="15.75" customHeight="1">
      <c r="A347" s="38">
        <v>343.0</v>
      </c>
      <c r="B347" s="39">
        <v>0.0</v>
      </c>
      <c r="C347" s="39">
        <v>393019.58</v>
      </c>
      <c r="D347" s="39">
        <v>0.0</v>
      </c>
      <c r="E347" s="40">
        <f t="shared" si="1"/>
        <v>393019.58</v>
      </c>
      <c r="F347" s="39">
        <v>0.0</v>
      </c>
      <c r="G347" s="39">
        <v>342156.72</v>
      </c>
      <c r="H347" s="39">
        <v>4605982.44</v>
      </c>
      <c r="I347" s="40">
        <f t="shared" si="2"/>
        <v>4948139.16</v>
      </c>
      <c r="J347" s="39">
        <v>0.0</v>
      </c>
      <c r="K347" s="39">
        <v>0.0</v>
      </c>
      <c r="L347" s="39">
        <v>0.0</v>
      </c>
      <c r="M347" s="40">
        <f t="shared" si="3"/>
        <v>0</v>
      </c>
      <c r="N347" s="39">
        <v>1589292.98</v>
      </c>
      <c r="O347" s="39">
        <v>0.0</v>
      </c>
      <c r="P347" s="39">
        <v>0.0</v>
      </c>
      <c r="Q347" s="40">
        <f t="shared" si="4"/>
        <v>1589292.98</v>
      </c>
    </row>
    <row r="348" ht="15.75" customHeight="1">
      <c r="A348" s="38">
        <v>344.0</v>
      </c>
      <c r="B348" s="41">
        <v>0.0</v>
      </c>
      <c r="C348" s="41">
        <v>313760.13</v>
      </c>
      <c r="D348" s="41">
        <v>0.0</v>
      </c>
      <c r="E348" s="40">
        <f t="shared" si="1"/>
        <v>313760.13</v>
      </c>
      <c r="F348" s="41">
        <v>0.0</v>
      </c>
      <c r="G348" s="41">
        <v>0.0</v>
      </c>
      <c r="H348" s="41">
        <v>0.0</v>
      </c>
      <c r="I348" s="40">
        <f t="shared" si="2"/>
        <v>0</v>
      </c>
      <c r="J348" s="41">
        <v>0.0</v>
      </c>
      <c r="K348" s="41">
        <v>42555.65</v>
      </c>
      <c r="L348" s="41">
        <v>199805.34</v>
      </c>
      <c r="M348" s="40">
        <f t="shared" si="3"/>
        <v>242360.99</v>
      </c>
      <c r="N348" s="41">
        <v>0.0</v>
      </c>
      <c r="O348" s="41">
        <v>0.0</v>
      </c>
      <c r="P348" s="41">
        <v>0.0</v>
      </c>
      <c r="Q348" s="40">
        <f t="shared" si="4"/>
        <v>0</v>
      </c>
    </row>
    <row r="349" ht="15.75" customHeight="1">
      <c r="A349" s="38">
        <v>345.0</v>
      </c>
      <c r="B349" s="39">
        <v>0.0</v>
      </c>
      <c r="C349" s="39">
        <v>0.0</v>
      </c>
      <c r="D349" s="39">
        <v>0.0</v>
      </c>
      <c r="E349" s="40">
        <f t="shared" si="1"/>
        <v>0</v>
      </c>
      <c r="F349" s="39">
        <v>511132.27</v>
      </c>
      <c r="G349" s="39">
        <v>0.0</v>
      </c>
      <c r="H349" s="39">
        <v>0.0</v>
      </c>
      <c r="I349" s="40">
        <f t="shared" si="2"/>
        <v>511132.27</v>
      </c>
      <c r="J349" s="39">
        <v>0.0</v>
      </c>
      <c r="K349" s="39">
        <v>0.0</v>
      </c>
      <c r="L349" s="39">
        <v>0.0</v>
      </c>
      <c r="M349" s="40">
        <f t="shared" si="3"/>
        <v>0</v>
      </c>
      <c r="N349" s="39">
        <v>0.0</v>
      </c>
      <c r="O349" s="39">
        <v>269337.81</v>
      </c>
      <c r="P349" s="39">
        <v>0.0</v>
      </c>
      <c r="Q349" s="40">
        <f t="shared" si="4"/>
        <v>269337.81</v>
      </c>
    </row>
    <row r="350" ht="15.75" customHeight="1">
      <c r="A350" s="38">
        <v>346.0</v>
      </c>
      <c r="B350" s="41">
        <v>0.0</v>
      </c>
      <c r="C350" s="41">
        <v>102974.69</v>
      </c>
      <c r="D350" s="41">
        <v>7007648.83</v>
      </c>
      <c r="E350" s="40">
        <f t="shared" si="1"/>
        <v>7110623.52</v>
      </c>
      <c r="F350" s="41">
        <v>0.0</v>
      </c>
      <c r="G350" s="41">
        <v>120988.72</v>
      </c>
      <c r="H350" s="41">
        <v>0.0</v>
      </c>
      <c r="I350" s="40">
        <f t="shared" si="2"/>
        <v>120988.72</v>
      </c>
      <c r="J350" s="41">
        <v>356826.12</v>
      </c>
      <c r="K350" s="41">
        <v>168676.79</v>
      </c>
      <c r="L350" s="41">
        <v>815060.35</v>
      </c>
      <c r="M350" s="40">
        <f t="shared" si="3"/>
        <v>1340563.26</v>
      </c>
      <c r="N350" s="41">
        <v>421482.0</v>
      </c>
      <c r="O350" s="41">
        <v>206021.26</v>
      </c>
      <c r="P350" s="41">
        <v>0.0</v>
      </c>
      <c r="Q350" s="40">
        <f t="shared" si="4"/>
        <v>627503.26</v>
      </c>
    </row>
    <row r="351" ht="15.75" customHeight="1">
      <c r="A351" s="38">
        <v>347.0</v>
      </c>
      <c r="B351" s="39">
        <v>6890116.54</v>
      </c>
      <c r="C351" s="39">
        <v>363730.57</v>
      </c>
      <c r="D351" s="39">
        <v>0.0</v>
      </c>
      <c r="E351" s="40">
        <f t="shared" si="1"/>
        <v>7253847.11</v>
      </c>
      <c r="F351" s="39">
        <v>0.0</v>
      </c>
      <c r="G351" s="39">
        <v>0.0</v>
      </c>
      <c r="H351" s="39">
        <v>0.0</v>
      </c>
      <c r="I351" s="40">
        <f t="shared" si="2"/>
        <v>0</v>
      </c>
      <c r="J351" s="39">
        <v>0.0</v>
      </c>
      <c r="K351" s="39">
        <v>40164.43</v>
      </c>
      <c r="L351" s="39">
        <v>0.0</v>
      </c>
      <c r="M351" s="40">
        <f t="shared" si="3"/>
        <v>40164.43</v>
      </c>
      <c r="N351" s="39">
        <v>0.0</v>
      </c>
      <c r="O351" s="39">
        <v>0.0</v>
      </c>
      <c r="P351" s="39">
        <v>0.0</v>
      </c>
      <c r="Q351" s="40">
        <f t="shared" si="4"/>
        <v>0</v>
      </c>
    </row>
    <row r="352" ht="15.75" customHeight="1">
      <c r="A352" s="38">
        <v>348.0</v>
      </c>
      <c r="B352" s="41">
        <v>0.0</v>
      </c>
      <c r="C352" s="41">
        <v>583109.7</v>
      </c>
      <c r="D352" s="41">
        <v>0.0</v>
      </c>
      <c r="E352" s="40">
        <f t="shared" si="1"/>
        <v>583109.7</v>
      </c>
      <c r="F352" s="41">
        <v>282788.9</v>
      </c>
      <c r="G352" s="41">
        <v>0.0</v>
      </c>
      <c r="H352" s="41">
        <v>0.0</v>
      </c>
      <c r="I352" s="40">
        <f t="shared" si="2"/>
        <v>282788.9</v>
      </c>
      <c r="J352" s="41">
        <v>1687304.68</v>
      </c>
      <c r="K352" s="41">
        <v>162691.7</v>
      </c>
      <c r="L352" s="41">
        <v>5132184.13</v>
      </c>
      <c r="M352" s="40">
        <f t="shared" si="3"/>
        <v>6982180.51</v>
      </c>
      <c r="N352" s="41">
        <v>451596.24</v>
      </c>
      <c r="O352" s="41">
        <v>460225.74</v>
      </c>
      <c r="P352" s="41">
        <v>0.0</v>
      </c>
      <c r="Q352" s="40">
        <f t="shared" si="4"/>
        <v>911821.98</v>
      </c>
    </row>
    <row r="353" ht="15.75" customHeight="1">
      <c r="A353" s="38">
        <v>349.0</v>
      </c>
      <c r="B353" s="39">
        <v>519607.81</v>
      </c>
      <c r="C353" s="39">
        <v>0.0</v>
      </c>
      <c r="D353" s="39">
        <v>0.0</v>
      </c>
      <c r="E353" s="40">
        <f t="shared" si="1"/>
        <v>519607.81</v>
      </c>
      <c r="F353" s="39">
        <v>0.0</v>
      </c>
      <c r="G353" s="39">
        <v>0.0</v>
      </c>
      <c r="H353" s="39">
        <v>0.0</v>
      </c>
      <c r="I353" s="40">
        <f t="shared" si="2"/>
        <v>0</v>
      </c>
      <c r="J353" s="39">
        <v>2066554.64</v>
      </c>
      <c r="K353" s="39">
        <v>599379.48</v>
      </c>
      <c r="L353" s="39">
        <v>0.0</v>
      </c>
      <c r="M353" s="40">
        <f t="shared" si="3"/>
        <v>2665934.12</v>
      </c>
      <c r="N353" s="39">
        <v>1739065.6</v>
      </c>
      <c r="O353" s="39">
        <v>122783.57</v>
      </c>
      <c r="P353" s="39">
        <v>0.0</v>
      </c>
      <c r="Q353" s="40">
        <f t="shared" si="4"/>
        <v>1861849.17</v>
      </c>
    </row>
    <row r="354" ht="15.75" customHeight="1">
      <c r="A354" s="38">
        <v>350.0</v>
      </c>
      <c r="B354" s="41">
        <v>0.0</v>
      </c>
      <c r="C354" s="41">
        <v>159882.94</v>
      </c>
      <c r="D354" s="41">
        <v>3547848.59</v>
      </c>
      <c r="E354" s="40">
        <f t="shared" si="1"/>
        <v>3707731.53</v>
      </c>
      <c r="F354" s="41">
        <v>0.0</v>
      </c>
      <c r="G354" s="41">
        <v>0.0</v>
      </c>
      <c r="H354" s="41">
        <v>0.0</v>
      </c>
      <c r="I354" s="40">
        <f t="shared" si="2"/>
        <v>0</v>
      </c>
      <c r="J354" s="41">
        <v>433330.88</v>
      </c>
      <c r="K354" s="41">
        <v>152733.48</v>
      </c>
      <c r="L354" s="41">
        <v>2532910.66</v>
      </c>
      <c r="M354" s="40">
        <f t="shared" si="3"/>
        <v>3118975.02</v>
      </c>
      <c r="N354" s="41">
        <v>341292.51</v>
      </c>
      <c r="O354" s="41">
        <v>0.0</v>
      </c>
      <c r="P354" s="41">
        <v>0.0</v>
      </c>
      <c r="Q354" s="40">
        <f t="shared" si="4"/>
        <v>341292.51</v>
      </c>
    </row>
    <row r="355" ht="15.75" customHeight="1">
      <c r="A355" s="38">
        <v>351.0</v>
      </c>
      <c r="B355" s="39">
        <v>0.0</v>
      </c>
      <c r="C355" s="39">
        <v>407651.54</v>
      </c>
      <c r="D355" s="39">
        <v>0.0</v>
      </c>
      <c r="E355" s="40">
        <f t="shared" si="1"/>
        <v>407651.54</v>
      </c>
      <c r="F355" s="39">
        <v>1439174.04</v>
      </c>
      <c r="G355" s="39">
        <v>0.0</v>
      </c>
      <c r="H355" s="39">
        <v>0.0</v>
      </c>
      <c r="I355" s="40">
        <f t="shared" si="2"/>
        <v>1439174.04</v>
      </c>
      <c r="J355" s="39">
        <v>711805.91</v>
      </c>
      <c r="K355" s="39">
        <v>0.0</v>
      </c>
      <c r="L355" s="39">
        <v>0.0</v>
      </c>
      <c r="M355" s="40">
        <f t="shared" si="3"/>
        <v>711805.91</v>
      </c>
      <c r="N355" s="39">
        <v>189286.28</v>
      </c>
      <c r="O355" s="39">
        <v>0.0</v>
      </c>
      <c r="P355" s="39">
        <v>0.0</v>
      </c>
      <c r="Q355" s="40">
        <f t="shared" si="4"/>
        <v>189286.28</v>
      </c>
    </row>
    <row r="356" ht="15.75" customHeight="1">
      <c r="A356" s="38">
        <v>352.0</v>
      </c>
      <c r="B356" s="41">
        <v>0.0</v>
      </c>
      <c r="C356" s="41">
        <v>256804.8</v>
      </c>
      <c r="D356" s="41">
        <v>0.0</v>
      </c>
      <c r="E356" s="40">
        <f t="shared" si="1"/>
        <v>256804.8</v>
      </c>
      <c r="F356" s="41">
        <v>2531159.06</v>
      </c>
      <c r="G356" s="41">
        <v>0.0</v>
      </c>
      <c r="H356" s="41">
        <v>1.267185283E7</v>
      </c>
      <c r="I356" s="40">
        <f t="shared" si="2"/>
        <v>15203011.89</v>
      </c>
      <c r="J356" s="41">
        <v>0.0</v>
      </c>
      <c r="K356" s="41">
        <v>0.0</v>
      </c>
      <c r="L356" s="41">
        <v>0.0</v>
      </c>
      <c r="M356" s="40">
        <f t="shared" si="3"/>
        <v>0</v>
      </c>
      <c r="N356" s="41">
        <v>1075270.48</v>
      </c>
      <c r="O356" s="41">
        <v>0.0</v>
      </c>
      <c r="P356" s="41">
        <v>0.0</v>
      </c>
      <c r="Q356" s="40">
        <f t="shared" si="4"/>
        <v>1075270.48</v>
      </c>
    </row>
    <row r="357" ht="15.75" customHeight="1">
      <c r="A357" s="38">
        <v>353.0</v>
      </c>
      <c r="B357" s="39">
        <v>0.0</v>
      </c>
      <c r="C357" s="39">
        <v>0.0</v>
      </c>
      <c r="D357" s="39">
        <v>0.0</v>
      </c>
      <c r="E357" s="40">
        <f t="shared" si="1"/>
        <v>0</v>
      </c>
      <c r="F357" s="39">
        <v>0.0</v>
      </c>
      <c r="G357" s="39">
        <v>0.0</v>
      </c>
      <c r="H357" s="39">
        <v>2520101.57</v>
      </c>
      <c r="I357" s="40">
        <f t="shared" si="2"/>
        <v>2520101.57</v>
      </c>
      <c r="J357" s="39">
        <v>0.0</v>
      </c>
      <c r="K357" s="39">
        <v>247947.04</v>
      </c>
      <c r="L357" s="39">
        <v>0.0</v>
      </c>
      <c r="M357" s="40">
        <f t="shared" si="3"/>
        <v>247947.04</v>
      </c>
      <c r="N357" s="39">
        <v>0.0</v>
      </c>
      <c r="O357" s="39">
        <v>428563.57</v>
      </c>
      <c r="P357" s="39">
        <v>0.0</v>
      </c>
      <c r="Q357" s="40">
        <f t="shared" si="4"/>
        <v>428563.57</v>
      </c>
    </row>
    <row r="358" ht="15.75" customHeight="1">
      <c r="A358" s="38">
        <v>354.0</v>
      </c>
      <c r="B358" s="41">
        <v>3253007.29</v>
      </c>
      <c r="C358" s="41">
        <v>1148541.69</v>
      </c>
      <c r="D358" s="41">
        <v>1735623.44</v>
      </c>
      <c r="E358" s="40">
        <f t="shared" si="1"/>
        <v>6137172.42</v>
      </c>
      <c r="F358" s="41">
        <v>0.0</v>
      </c>
      <c r="G358" s="41">
        <v>683698.79</v>
      </c>
      <c r="H358" s="41">
        <v>0.0</v>
      </c>
      <c r="I358" s="40">
        <f t="shared" si="2"/>
        <v>683698.79</v>
      </c>
      <c r="J358" s="41">
        <v>381443.84</v>
      </c>
      <c r="K358" s="41">
        <v>580614.7</v>
      </c>
      <c r="L358" s="41">
        <v>6805240.88</v>
      </c>
      <c r="M358" s="40">
        <f t="shared" si="3"/>
        <v>7767299.42</v>
      </c>
      <c r="N358" s="41">
        <v>0.0</v>
      </c>
      <c r="O358" s="41">
        <v>441981.63</v>
      </c>
      <c r="P358" s="41">
        <v>0.0</v>
      </c>
      <c r="Q358" s="40">
        <f t="shared" si="4"/>
        <v>441981.63</v>
      </c>
    </row>
    <row r="359" ht="15.75" customHeight="1">
      <c r="A359" s="38">
        <v>355.0</v>
      </c>
      <c r="B359" s="39">
        <v>0.0</v>
      </c>
      <c r="C359" s="39">
        <v>123769.94</v>
      </c>
      <c r="D359" s="39">
        <v>0.0</v>
      </c>
      <c r="E359" s="40">
        <f t="shared" si="1"/>
        <v>123769.94</v>
      </c>
      <c r="F359" s="39">
        <v>0.0</v>
      </c>
      <c r="G359" s="39">
        <v>472071.29</v>
      </c>
      <c r="H359" s="39">
        <v>0.0</v>
      </c>
      <c r="I359" s="40">
        <f t="shared" si="2"/>
        <v>472071.29</v>
      </c>
      <c r="J359" s="39">
        <v>0.0</v>
      </c>
      <c r="K359" s="39">
        <v>375865.53</v>
      </c>
      <c r="L359" s="39">
        <v>2.823598684E7</v>
      </c>
      <c r="M359" s="40">
        <f t="shared" si="3"/>
        <v>28611852.37</v>
      </c>
      <c r="N359" s="39">
        <v>1432490.09</v>
      </c>
      <c r="O359" s="39">
        <v>731961.19</v>
      </c>
      <c r="P359" s="39">
        <v>0.0</v>
      </c>
      <c r="Q359" s="40">
        <f t="shared" si="4"/>
        <v>2164451.28</v>
      </c>
    </row>
    <row r="360" ht="15.75" customHeight="1">
      <c r="A360" s="38">
        <v>356.0</v>
      </c>
      <c r="B360" s="41">
        <v>1818396.05</v>
      </c>
      <c r="C360" s="41">
        <v>128764.09</v>
      </c>
      <c r="D360" s="41">
        <v>0.0</v>
      </c>
      <c r="E360" s="40">
        <f t="shared" si="1"/>
        <v>1947160.14</v>
      </c>
      <c r="F360" s="41">
        <v>6667746.65</v>
      </c>
      <c r="G360" s="41">
        <v>0.0</v>
      </c>
      <c r="H360" s="41">
        <v>376515.9</v>
      </c>
      <c r="I360" s="40">
        <f t="shared" si="2"/>
        <v>7044262.55</v>
      </c>
      <c r="J360" s="41">
        <v>400958.19</v>
      </c>
      <c r="K360" s="41">
        <v>1697481.38</v>
      </c>
      <c r="L360" s="41">
        <v>0.0</v>
      </c>
      <c r="M360" s="40">
        <f t="shared" si="3"/>
        <v>2098439.57</v>
      </c>
      <c r="N360" s="41">
        <v>0.0</v>
      </c>
      <c r="O360" s="41">
        <v>531880.78</v>
      </c>
      <c r="P360" s="41">
        <v>0.0</v>
      </c>
      <c r="Q360" s="40">
        <f t="shared" si="4"/>
        <v>531880.78</v>
      </c>
    </row>
    <row r="361" ht="15.75" customHeight="1">
      <c r="A361" s="38">
        <v>357.0</v>
      </c>
      <c r="B361" s="39">
        <v>9484077.93</v>
      </c>
      <c r="C361" s="39">
        <v>444141.04</v>
      </c>
      <c r="D361" s="39">
        <v>0.0</v>
      </c>
      <c r="E361" s="40">
        <f t="shared" si="1"/>
        <v>9928218.97</v>
      </c>
      <c r="F361" s="39">
        <v>0.0</v>
      </c>
      <c r="G361" s="39">
        <v>0.0</v>
      </c>
      <c r="H361" s="39">
        <v>388971.65</v>
      </c>
      <c r="I361" s="40">
        <f t="shared" si="2"/>
        <v>388971.65</v>
      </c>
      <c r="J361" s="39">
        <v>0.0</v>
      </c>
      <c r="K361" s="39">
        <v>482867.88</v>
      </c>
      <c r="L361" s="39">
        <v>0.0</v>
      </c>
      <c r="M361" s="40">
        <f t="shared" si="3"/>
        <v>482867.88</v>
      </c>
      <c r="N361" s="39">
        <v>3379466.15</v>
      </c>
      <c r="O361" s="39">
        <v>0.0</v>
      </c>
      <c r="P361" s="39">
        <v>4713558.42</v>
      </c>
      <c r="Q361" s="40">
        <f t="shared" si="4"/>
        <v>8093024.57</v>
      </c>
    </row>
    <row r="362" ht="15.75" customHeight="1">
      <c r="A362" s="38">
        <v>358.0</v>
      </c>
      <c r="B362" s="41">
        <v>158925.17</v>
      </c>
      <c r="C362" s="41">
        <v>362535.61</v>
      </c>
      <c r="D362" s="41">
        <v>0.0</v>
      </c>
      <c r="E362" s="40">
        <f t="shared" si="1"/>
        <v>521460.78</v>
      </c>
      <c r="F362" s="41">
        <v>0.0</v>
      </c>
      <c r="G362" s="41">
        <v>0.0</v>
      </c>
      <c r="H362" s="41">
        <v>0.0</v>
      </c>
      <c r="I362" s="40">
        <f t="shared" si="2"/>
        <v>0</v>
      </c>
      <c r="J362" s="41">
        <v>0.0</v>
      </c>
      <c r="K362" s="41">
        <v>0.0</v>
      </c>
      <c r="L362" s="41">
        <v>0.0</v>
      </c>
      <c r="M362" s="40">
        <f t="shared" si="3"/>
        <v>0</v>
      </c>
      <c r="N362" s="41">
        <v>0.0</v>
      </c>
      <c r="O362" s="41">
        <v>66250.77</v>
      </c>
      <c r="P362" s="41">
        <v>0.0</v>
      </c>
      <c r="Q362" s="40">
        <f t="shared" si="4"/>
        <v>66250.77</v>
      </c>
    </row>
    <row r="363" ht="15.75" customHeight="1">
      <c r="A363" s="38">
        <v>359.0</v>
      </c>
      <c r="B363" s="39">
        <v>0.0</v>
      </c>
      <c r="C363" s="39">
        <v>235526.58</v>
      </c>
      <c r="D363" s="39">
        <v>1.497241111E7</v>
      </c>
      <c r="E363" s="40">
        <f t="shared" si="1"/>
        <v>15207937.69</v>
      </c>
      <c r="F363" s="39">
        <v>0.0</v>
      </c>
      <c r="G363" s="39">
        <v>0.0</v>
      </c>
      <c r="H363" s="39">
        <v>0.0</v>
      </c>
      <c r="I363" s="40">
        <f t="shared" si="2"/>
        <v>0</v>
      </c>
      <c r="J363" s="39">
        <v>0.0</v>
      </c>
      <c r="K363" s="39">
        <v>47295.99</v>
      </c>
      <c r="L363" s="39">
        <v>0.0</v>
      </c>
      <c r="M363" s="40">
        <f t="shared" si="3"/>
        <v>47295.99</v>
      </c>
      <c r="N363" s="39">
        <v>2265895.19</v>
      </c>
      <c r="O363" s="39">
        <v>160717.57</v>
      </c>
      <c r="P363" s="39">
        <v>0.0</v>
      </c>
      <c r="Q363" s="40">
        <f t="shared" si="4"/>
        <v>2426612.76</v>
      </c>
    </row>
    <row r="364" ht="15.75" customHeight="1">
      <c r="A364" s="38">
        <v>360.0</v>
      </c>
      <c r="B364" s="41">
        <v>0.0</v>
      </c>
      <c r="C364" s="41">
        <v>156941.97</v>
      </c>
      <c r="D364" s="41">
        <v>0.0</v>
      </c>
      <c r="E364" s="40">
        <f t="shared" si="1"/>
        <v>156941.97</v>
      </c>
      <c r="F364" s="41">
        <v>1.253256286E7</v>
      </c>
      <c r="G364" s="41">
        <v>699740.76</v>
      </c>
      <c r="H364" s="41">
        <v>0.0</v>
      </c>
      <c r="I364" s="40">
        <f t="shared" si="2"/>
        <v>13232303.62</v>
      </c>
      <c r="J364" s="41">
        <v>0.0</v>
      </c>
      <c r="K364" s="41">
        <v>259098.54</v>
      </c>
      <c r="L364" s="41">
        <v>0.0</v>
      </c>
      <c r="M364" s="40">
        <f t="shared" si="3"/>
        <v>259098.54</v>
      </c>
      <c r="N364" s="41">
        <v>3958474.12</v>
      </c>
      <c r="O364" s="41">
        <v>0.0</v>
      </c>
      <c r="P364" s="41">
        <v>5140265.36</v>
      </c>
      <c r="Q364" s="40">
        <f t="shared" si="4"/>
        <v>9098739.48</v>
      </c>
    </row>
    <row r="365" ht="15.75" customHeight="1">
      <c r="A365" s="38">
        <v>361.0</v>
      </c>
      <c r="B365" s="39">
        <v>0.0</v>
      </c>
      <c r="C365" s="39">
        <v>0.0</v>
      </c>
      <c r="D365" s="39">
        <v>1.016504081E7</v>
      </c>
      <c r="E365" s="40">
        <f t="shared" si="1"/>
        <v>10165040.81</v>
      </c>
      <c r="F365" s="39">
        <v>101090.01</v>
      </c>
      <c r="G365" s="39">
        <v>479734.89</v>
      </c>
      <c r="H365" s="39">
        <v>0.0</v>
      </c>
      <c r="I365" s="40">
        <f t="shared" si="2"/>
        <v>580824.9</v>
      </c>
      <c r="J365" s="39">
        <v>0.0</v>
      </c>
      <c r="K365" s="39">
        <v>907779.24</v>
      </c>
      <c r="L365" s="39">
        <v>1.081630579E7</v>
      </c>
      <c r="M365" s="40">
        <f t="shared" si="3"/>
        <v>11724085.03</v>
      </c>
      <c r="N365" s="39">
        <v>2275813.35</v>
      </c>
      <c r="O365" s="39">
        <v>0.0</v>
      </c>
      <c r="P365" s="39">
        <v>0.0</v>
      </c>
      <c r="Q365" s="40">
        <f t="shared" si="4"/>
        <v>2275813.35</v>
      </c>
    </row>
    <row r="366" ht="15.75" customHeight="1">
      <c r="A366" s="38">
        <v>362.0</v>
      </c>
      <c r="B366" s="41">
        <v>0.0</v>
      </c>
      <c r="C366" s="41">
        <v>509866.52</v>
      </c>
      <c r="D366" s="41">
        <v>0.0</v>
      </c>
      <c r="E366" s="40">
        <f t="shared" si="1"/>
        <v>509866.52</v>
      </c>
      <c r="F366" s="41">
        <v>0.0</v>
      </c>
      <c r="G366" s="41">
        <v>175844.5</v>
      </c>
      <c r="H366" s="41">
        <v>0.0</v>
      </c>
      <c r="I366" s="40">
        <f t="shared" si="2"/>
        <v>175844.5</v>
      </c>
      <c r="J366" s="41">
        <v>0.0</v>
      </c>
      <c r="K366" s="41">
        <v>267287.22</v>
      </c>
      <c r="L366" s="41">
        <v>0.0</v>
      </c>
      <c r="M366" s="40">
        <f t="shared" si="3"/>
        <v>267287.22</v>
      </c>
      <c r="N366" s="41">
        <v>0.0</v>
      </c>
      <c r="O366" s="41">
        <v>0.0</v>
      </c>
      <c r="P366" s="41">
        <v>0.0</v>
      </c>
      <c r="Q366" s="40">
        <f t="shared" si="4"/>
        <v>0</v>
      </c>
    </row>
    <row r="367" ht="15.75" customHeight="1">
      <c r="A367" s="38">
        <v>363.0</v>
      </c>
      <c r="B367" s="39">
        <v>1253659.52</v>
      </c>
      <c r="C367" s="39">
        <v>0.0</v>
      </c>
      <c r="D367" s="39">
        <v>0.0</v>
      </c>
      <c r="E367" s="40">
        <f t="shared" si="1"/>
        <v>1253659.52</v>
      </c>
      <c r="F367" s="39">
        <v>0.0</v>
      </c>
      <c r="G367" s="39">
        <v>0.0</v>
      </c>
      <c r="H367" s="39">
        <v>0.0</v>
      </c>
      <c r="I367" s="40">
        <f t="shared" si="2"/>
        <v>0</v>
      </c>
      <c r="J367" s="39">
        <v>0.0</v>
      </c>
      <c r="K367" s="39">
        <v>1326355.0</v>
      </c>
      <c r="L367" s="39">
        <v>0.0</v>
      </c>
      <c r="M367" s="40">
        <f t="shared" si="3"/>
        <v>1326355</v>
      </c>
      <c r="N367" s="39">
        <v>0.0</v>
      </c>
      <c r="O367" s="39">
        <v>139859.63</v>
      </c>
      <c r="P367" s="39">
        <v>0.0</v>
      </c>
      <c r="Q367" s="40">
        <f t="shared" si="4"/>
        <v>139859.63</v>
      </c>
    </row>
    <row r="368" ht="15.75" customHeight="1">
      <c r="A368" s="38">
        <v>364.0</v>
      </c>
      <c r="B368" s="41">
        <v>0.0</v>
      </c>
      <c r="C368" s="41">
        <v>1185798.08</v>
      </c>
      <c r="D368" s="41">
        <v>0.0</v>
      </c>
      <c r="E368" s="40">
        <f t="shared" si="1"/>
        <v>1185798.08</v>
      </c>
      <c r="F368" s="41">
        <v>0.0</v>
      </c>
      <c r="G368" s="41">
        <v>0.0</v>
      </c>
      <c r="H368" s="41">
        <v>0.0</v>
      </c>
      <c r="I368" s="40">
        <f t="shared" si="2"/>
        <v>0</v>
      </c>
      <c r="J368" s="41">
        <v>617791.85</v>
      </c>
      <c r="K368" s="41">
        <v>0.0</v>
      </c>
      <c r="L368" s="41">
        <v>0.0</v>
      </c>
      <c r="M368" s="40">
        <f t="shared" si="3"/>
        <v>617791.85</v>
      </c>
      <c r="N368" s="41">
        <v>0.0</v>
      </c>
      <c r="O368" s="41">
        <v>0.0</v>
      </c>
      <c r="P368" s="41">
        <v>0.0</v>
      </c>
      <c r="Q368" s="40">
        <f t="shared" si="4"/>
        <v>0</v>
      </c>
    </row>
    <row r="369" ht="15.75" customHeight="1">
      <c r="A369" s="38">
        <v>365.0</v>
      </c>
      <c r="B369" s="39">
        <v>423687.38</v>
      </c>
      <c r="C369" s="39">
        <v>280813.85</v>
      </c>
      <c r="D369" s="39">
        <v>0.0</v>
      </c>
      <c r="E369" s="40">
        <f t="shared" si="1"/>
        <v>704501.23</v>
      </c>
      <c r="F369" s="39">
        <v>1158373.88</v>
      </c>
      <c r="G369" s="39">
        <v>0.0</v>
      </c>
      <c r="H369" s="39">
        <v>1223155.11</v>
      </c>
      <c r="I369" s="40">
        <f t="shared" si="2"/>
        <v>2381528.99</v>
      </c>
      <c r="J369" s="39">
        <v>0.0</v>
      </c>
      <c r="K369" s="39">
        <v>155426.95</v>
      </c>
      <c r="L369" s="39">
        <v>0.0</v>
      </c>
      <c r="M369" s="40">
        <f t="shared" si="3"/>
        <v>155426.95</v>
      </c>
      <c r="N369" s="39">
        <v>50484.64</v>
      </c>
      <c r="O369" s="39">
        <v>1861383.27</v>
      </c>
      <c r="P369" s="39">
        <v>0.0</v>
      </c>
      <c r="Q369" s="40">
        <f t="shared" si="4"/>
        <v>1911867.91</v>
      </c>
    </row>
    <row r="370" ht="15.75" customHeight="1">
      <c r="A370" s="38">
        <v>366.0</v>
      </c>
      <c r="B370" s="41">
        <v>0.0</v>
      </c>
      <c r="C370" s="41">
        <v>1673613.61</v>
      </c>
      <c r="D370" s="41">
        <v>0.0</v>
      </c>
      <c r="E370" s="40">
        <f t="shared" si="1"/>
        <v>1673613.61</v>
      </c>
      <c r="F370" s="41">
        <v>0.0</v>
      </c>
      <c r="G370" s="41">
        <v>0.0</v>
      </c>
      <c r="H370" s="41">
        <v>0.0</v>
      </c>
      <c r="I370" s="40">
        <f t="shared" si="2"/>
        <v>0</v>
      </c>
      <c r="J370" s="41">
        <v>0.0</v>
      </c>
      <c r="K370" s="41">
        <v>0.0</v>
      </c>
      <c r="L370" s="41">
        <v>2998208.03</v>
      </c>
      <c r="M370" s="40">
        <f t="shared" si="3"/>
        <v>2998208.03</v>
      </c>
      <c r="N370" s="41">
        <v>130004.5</v>
      </c>
      <c r="O370" s="41">
        <v>165051.69</v>
      </c>
      <c r="P370" s="41">
        <v>0.0</v>
      </c>
      <c r="Q370" s="40">
        <f t="shared" si="4"/>
        <v>295056.19</v>
      </c>
    </row>
    <row r="371" ht="15.75" customHeight="1">
      <c r="A371" s="38">
        <v>367.0</v>
      </c>
      <c r="B371" s="39">
        <v>760977.73</v>
      </c>
      <c r="C371" s="39">
        <v>0.0</v>
      </c>
      <c r="D371" s="39">
        <v>0.0</v>
      </c>
      <c r="E371" s="40">
        <f t="shared" si="1"/>
        <v>760977.73</v>
      </c>
      <c r="F371" s="39">
        <v>0.0</v>
      </c>
      <c r="G371" s="39">
        <v>264026.93</v>
      </c>
      <c r="H371" s="39">
        <v>1.453740319E7</v>
      </c>
      <c r="I371" s="40">
        <f t="shared" si="2"/>
        <v>14801430.12</v>
      </c>
      <c r="J371" s="39">
        <v>0.0</v>
      </c>
      <c r="K371" s="39">
        <v>341977.76</v>
      </c>
      <c r="L371" s="39">
        <v>0.0</v>
      </c>
      <c r="M371" s="40">
        <f t="shared" si="3"/>
        <v>341977.76</v>
      </c>
      <c r="N371" s="39">
        <v>0.0</v>
      </c>
      <c r="O371" s="39">
        <v>204760.4</v>
      </c>
      <c r="P371" s="39">
        <v>0.0</v>
      </c>
      <c r="Q371" s="40">
        <f t="shared" si="4"/>
        <v>204760.4</v>
      </c>
    </row>
    <row r="372" ht="15.75" customHeight="1">
      <c r="A372" s="38">
        <v>368.0</v>
      </c>
      <c r="B372" s="41">
        <v>1614803.97</v>
      </c>
      <c r="C372" s="41">
        <v>633303.41</v>
      </c>
      <c r="D372" s="41">
        <v>0.0</v>
      </c>
      <c r="E372" s="40">
        <f t="shared" si="1"/>
        <v>2248107.38</v>
      </c>
      <c r="F372" s="41">
        <v>2389392.99</v>
      </c>
      <c r="G372" s="41">
        <v>142481.21</v>
      </c>
      <c r="H372" s="41">
        <v>0.0</v>
      </c>
      <c r="I372" s="40">
        <f t="shared" si="2"/>
        <v>2531874.2</v>
      </c>
      <c r="J372" s="41">
        <v>0.0</v>
      </c>
      <c r="K372" s="41">
        <v>0.0</v>
      </c>
      <c r="L372" s="41">
        <v>0.0</v>
      </c>
      <c r="M372" s="40">
        <f t="shared" si="3"/>
        <v>0</v>
      </c>
      <c r="N372" s="41">
        <v>384063.42</v>
      </c>
      <c r="O372" s="41">
        <v>143131.23</v>
      </c>
      <c r="P372" s="41">
        <v>0.0</v>
      </c>
      <c r="Q372" s="40">
        <f t="shared" si="4"/>
        <v>527194.65</v>
      </c>
    </row>
    <row r="373" ht="15.75" customHeight="1">
      <c r="A373" s="38">
        <v>369.0</v>
      </c>
      <c r="B373" s="39">
        <v>0.0</v>
      </c>
      <c r="C373" s="39">
        <v>0.0</v>
      </c>
      <c r="D373" s="39">
        <v>1.443454978E7</v>
      </c>
      <c r="E373" s="40">
        <f t="shared" si="1"/>
        <v>14434549.78</v>
      </c>
      <c r="F373" s="39">
        <v>0.0</v>
      </c>
      <c r="G373" s="39">
        <v>801428.3</v>
      </c>
      <c r="H373" s="39">
        <v>0.0</v>
      </c>
      <c r="I373" s="40">
        <f t="shared" si="2"/>
        <v>801428.3</v>
      </c>
      <c r="J373" s="39">
        <v>0.0</v>
      </c>
      <c r="K373" s="39">
        <v>494277.79</v>
      </c>
      <c r="L373" s="39">
        <v>0.0</v>
      </c>
      <c r="M373" s="40">
        <f t="shared" si="3"/>
        <v>494277.79</v>
      </c>
      <c r="N373" s="39">
        <v>359998.94</v>
      </c>
      <c r="O373" s="39">
        <v>0.0</v>
      </c>
      <c r="P373" s="39">
        <v>0.0</v>
      </c>
      <c r="Q373" s="40">
        <f t="shared" si="4"/>
        <v>359998.94</v>
      </c>
    </row>
    <row r="374" ht="15.75" customHeight="1">
      <c r="A374" s="38">
        <v>370.0</v>
      </c>
      <c r="B374" s="41">
        <v>0.0</v>
      </c>
      <c r="C374" s="41">
        <v>355685.56</v>
      </c>
      <c r="D374" s="41">
        <v>0.0</v>
      </c>
      <c r="E374" s="40">
        <f t="shared" si="1"/>
        <v>355685.56</v>
      </c>
      <c r="F374" s="41">
        <v>613847.42</v>
      </c>
      <c r="G374" s="41">
        <v>409272.8</v>
      </c>
      <c r="H374" s="41">
        <v>0.0</v>
      </c>
      <c r="I374" s="40">
        <f t="shared" si="2"/>
        <v>1023120.22</v>
      </c>
      <c r="J374" s="41">
        <v>0.0</v>
      </c>
      <c r="K374" s="41">
        <v>185118.99</v>
      </c>
      <c r="L374" s="41">
        <v>0.0</v>
      </c>
      <c r="M374" s="40">
        <f t="shared" si="3"/>
        <v>185118.99</v>
      </c>
      <c r="N374" s="41">
        <v>4259235.51</v>
      </c>
      <c r="O374" s="41">
        <v>40543.85</v>
      </c>
      <c r="P374" s="41">
        <v>0.0</v>
      </c>
      <c r="Q374" s="40">
        <f t="shared" si="4"/>
        <v>4299779.36</v>
      </c>
    </row>
    <row r="375" ht="15.75" customHeight="1">
      <c r="A375" s="38">
        <v>371.0</v>
      </c>
      <c r="B375" s="39">
        <v>0.0</v>
      </c>
      <c r="C375" s="39">
        <v>581886.02</v>
      </c>
      <c r="D375" s="39">
        <v>0.0</v>
      </c>
      <c r="E375" s="40">
        <f t="shared" si="1"/>
        <v>581886.02</v>
      </c>
      <c r="F375" s="39">
        <v>0.0</v>
      </c>
      <c r="G375" s="39">
        <v>0.0</v>
      </c>
      <c r="H375" s="39">
        <v>1745559.53</v>
      </c>
      <c r="I375" s="40">
        <f t="shared" si="2"/>
        <v>1745559.53</v>
      </c>
      <c r="J375" s="39">
        <v>1719457.22</v>
      </c>
      <c r="K375" s="39">
        <v>373355.03</v>
      </c>
      <c r="L375" s="39">
        <v>928256.43</v>
      </c>
      <c r="M375" s="40">
        <f t="shared" si="3"/>
        <v>3021068.68</v>
      </c>
      <c r="N375" s="39">
        <v>0.0</v>
      </c>
      <c r="O375" s="39">
        <v>0.0</v>
      </c>
      <c r="P375" s="39">
        <v>0.0</v>
      </c>
      <c r="Q375" s="40">
        <f t="shared" si="4"/>
        <v>0</v>
      </c>
    </row>
    <row r="376" ht="15.75" customHeight="1">
      <c r="A376" s="38">
        <v>372.0</v>
      </c>
      <c r="B376" s="41">
        <v>0.0</v>
      </c>
      <c r="C376" s="41">
        <v>0.0</v>
      </c>
      <c r="D376" s="41">
        <v>0.0</v>
      </c>
      <c r="E376" s="40">
        <f t="shared" si="1"/>
        <v>0</v>
      </c>
      <c r="F376" s="41">
        <v>0.0</v>
      </c>
      <c r="G376" s="41">
        <v>243578.16</v>
      </c>
      <c r="H376" s="41">
        <v>0.0</v>
      </c>
      <c r="I376" s="40">
        <f t="shared" si="2"/>
        <v>243578.16</v>
      </c>
      <c r="J376" s="41">
        <v>0.0</v>
      </c>
      <c r="K376" s="41">
        <v>172160.9</v>
      </c>
      <c r="L376" s="41">
        <v>0.0</v>
      </c>
      <c r="M376" s="40">
        <f t="shared" si="3"/>
        <v>172160.9</v>
      </c>
      <c r="N376" s="41">
        <v>0.0</v>
      </c>
      <c r="O376" s="41">
        <v>0.0</v>
      </c>
      <c r="P376" s="41">
        <v>0.0</v>
      </c>
      <c r="Q376" s="40">
        <f t="shared" si="4"/>
        <v>0</v>
      </c>
    </row>
    <row r="377" ht="15.75" customHeight="1">
      <c r="A377" s="38">
        <v>373.0</v>
      </c>
      <c r="B377" s="39">
        <v>0.0</v>
      </c>
      <c r="C377" s="39">
        <v>0.0</v>
      </c>
      <c r="D377" s="39">
        <v>7151823.12</v>
      </c>
      <c r="E377" s="40">
        <f t="shared" si="1"/>
        <v>7151823.12</v>
      </c>
      <c r="F377" s="39">
        <v>0.0</v>
      </c>
      <c r="G377" s="39">
        <v>85446.27</v>
      </c>
      <c r="H377" s="39">
        <v>0.0</v>
      </c>
      <c r="I377" s="40">
        <f t="shared" si="2"/>
        <v>85446.27</v>
      </c>
      <c r="J377" s="39">
        <v>0.0</v>
      </c>
      <c r="K377" s="39">
        <v>243214.24</v>
      </c>
      <c r="L377" s="39">
        <v>425427.17</v>
      </c>
      <c r="M377" s="40">
        <f t="shared" si="3"/>
        <v>668641.41</v>
      </c>
      <c r="N377" s="39">
        <v>1961991.11</v>
      </c>
      <c r="O377" s="39">
        <v>0.0</v>
      </c>
      <c r="P377" s="39">
        <v>0.0</v>
      </c>
      <c r="Q377" s="40">
        <f t="shared" si="4"/>
        <v>1961991.11</v>
      </c>
    </row>
    <row r="378" ht="15.75" customHeight="1">
      <c r="A378" s="38">
        <v>374.0</v>
      </c>
      <c r="B378" s="41">
        <v>0.0</v>
      </c>
      <c r="C378" s="41">
        <v>100122.07</v>
      </c>
      <c r="D378" s="41">
        <v>0.0</v>
      </c>
      <c r="E378" s="40">
        <f t="shared" si="1"/>
        <v>100122.07</v>
      </c>
      <c r="F378" s="41">
        <v>0.0</v>
      </c>
      <c r="G378" s="41">
        <v>1100513.57</v>
      </c>
      <c r="H378" s="41">
        <v>1252449.38</v>
      </c>
      <c r="I378" s="40">
        <f t="shared" si="2"/>
        <v>2352962.95</v>
      </c>
      <c r="J378" s="41">
        <v>0.0</v>
      </c>
      <c r="K378" s="41">
        <v>37914.24</v>
      </c>
      <c r="L378" s="41">
        <v>0.0</v>
      </c>
      <c r="M378" s="40">
        <f t="shared" si="3"/>
        <v>37914.24</v>
      </c>
      <c r="N378" s="41">
        <v>0.0</v>
      </c>
      <c r="O378" s="41">
        <v>0.0</v>
      </c>
      <c r="P378" s="41">
        <v>0.0</v>
      </c>
      <c r="Q378" s="40">
        <f t="shared" si="4"/>
        <v>0</v>
      </c>
    </row>
    <row r="379" ht="15.75" customHeight="1">
      <c r="A379" s="38">
        <v>375.0</v>
      </c>
      <c r="B379" s="39">
        <v>0.0</v>
      </c>
      <c r="C379" s="39">
        <v>0.0</v>
      </c>
      <c r="D379" s="39">
        <v>5669773.08</v>
      </c>
      <c r="E379" s="40">
        <f t="shared" si="1"/>
        <v>5669773.08</v>
      </c>
      <c r="F379" s="39">
        <v>0.0</v>
      </c>
      <c r="G379" s="39">
        <v>1052334.63</v>
      </c>
      <c r="H379" s="39">
        <v>0.0</v>
      </c>
      <c r="I379" s="40">
        <f t="shared" si="2"/>
        <v>1052334.63</v>
      </c>
      <c r="J379" s="39">
        <v>0.0</v>
      </c>
      <c r="K379" s="39">
        <v>114084.37</v>
      </c>
      <c r="L379" s="39">
        <v>0.0</v>
      </c>
      <c r="M379" s="40">
        <f t="shared" si="3"/>
        <v>114084.37</v>
      </c>
      <c r="N379" s="39">
        <v>0.0</v>
      </c>
      <c r="O379" s="39">
        <v>62144.68</v>
      </c>
      <c r="P379" s="39">
        <v>0.0</v>
      </c>
      <c r="Q379" s="40">
        <f t="shared" si="4"/>
        <v>62144.68</v>
      </c>
    </row>
    <row r="380" ht="15.75" customHeight="1">
      <c r="A380" s="38">
        <v>376.0</v>
      </c>
      <c r="B380" s="41">
        <v>0.0</v>
      </c>
      <c r="C380" s="41">
        <v>647115.06</v>
      </c>
      <c r="D380" s="41">
        <v>0.0</v>
      </c>
      <c r="E380" s="40">
        <f t="shared" si="1"/>
        <v>647115.06</v>
      </c>
      <c r="F380" s="41">
        <v>0.0</v>
      </c>
      <c r="G380" s="41">
        <v>218959.75</v>
      </c>
      <c r="H380" s="41">
        <v>0.0</v>
      </c>
      <c r="I380" s="40">
        <f t="shared" si="2"/>
        <v>218959.75</v>
      </c>
      <c r="J380" s="41">
        <v>0.0</v>
      </c>
      <c r="K380" s="41">
        <v>238429.6</v>
      </c>
      <c r="L380" s="41">
        <v>0.0</v>
      </c>
      <c r="M380" s="40">
        <f t="shared" si="3"/>
        <v>238429.6</v>
      </c>
      <c r="N380" s="41">
        <v>0.0</v>
      </c>
      <c r="O380" s="41">
        <v>469583.47</v>
      </c>
      <c r="P380" s="41">
        <v>0.0</v>
      </c>
      <c r="Q380" s="40">
        <f t="shared" si="4"/>
        <v>469583.47</v>
      </c>
    </row>
    <row r="381" ht="15.75" customHeight="1">
      <c r="A381" s="38">
        <v>377.0</v>
      </c>
      <c r="B381" s="39">
        <v>4342473.2</v>
      </c>
      <c r="C381" s="39">
        <v>150829.18</v>
      </c>
      <c r="D381" s="39">
        <v>0.0</v>
      </c>
      <c r="E381" s="40">
        <f t="shared" si="1"/>
        <v>4493302.38</v>
      </c>
      <c r="F381" s="39">
        <v>0.0</v>
      </c>
      <c r="G381" s="39">
        <v>141692.85</v>
      </c>
      <c r="H381" s="39">
        <v>0.0</v>
      </c>
      <c r="I381" s="40">
        <f t="shared" si="2"/>
        <v>141692.85</v>
      </c>
      <c r="J381" s="39">
        <v>0.0</v>
      </c>
      <c r="K381" s="39">
        <v>46218.09</v>
      </c>
      <c r="L381" s="39">
        <v>1765516.47</v>
      </c>
      <c r="M381" s="40">
        <f t="shared" si="3"/>
        <v>1811734.56</v>
      </c>
      <c r="N381" s="39">
        <v>0.0</v>
      </c>
      <c r="O381" s="39">
        <v>76478.75</v>
      </c>
      <c r="P381" s="39">
        <v>0.0</v>
      </c>
      <c r="Q381" s="40">
        <f t="shared" si="4"/>
        <v>76478.75</v>
      </c>
    </row>
    <row r="382" ht="15.75" customHeight="1">
      <c r="A382" s="38">
        <v>378.0</v>
      </c>
      <c r="B382" s="41">
        <v>0.0</v>
      </c>
      <c r="C382" s="41">
        <v>0.0</v>
      </c>
      <c r="D382" s="41">
        <v>0.0</v>
      </c>
      <c r="E382" s="40">
        <f t="shared" si="1"/>
        <v>0</v>
      </c>
      <c r="F382" s="41">
        <v>0.0</v>
      </c>
      <c r="G382" s="41">
        <v>0.0</v>
      </c>
      <c r="H382" s="41">
        <v>1589080.0</v>
      </c>
      <c r="I382" s="40">
        <f t="shared" si="2"/>
        <v>1589080</v>
      </c>
      <c r="J382" s="41">
        <v>3856242.26</v>
      </c>
      <c r="K382" s="41">
        <v>0.0</v>
      </c>
      <c r="L382" s="41">
        <v>6711558.51</v>
      </c>
      <c r="M382" s="40">
        <f t="shared" si="3"/>
        <v>10567800.77</v>
      </c>
      <c r="N382" s="41">
        <v>0.0</v>
      </c>
      <c r="O382" s="41">
        <v>0.0</v>
      </c>
      <c r="P382" s="41">
        <v>0.0</v>
      </c>
      <c r="Q382" s="40">
        <f t="shared" si="4"/>
        <v>0</v>
      </c>
    </row>
    <row r="383" ht="15.75" customHeight="1">
      <c r="A383" s="38">
        <v>379.0</v>
      </c>
      <c r="B383" s="39">
        <v>0.0</v>
      </c>
      <c r="C383" s="39">
        <v>403808.4</v>
      </c>
      <c r="D383" s="39">
        <v>0.0</v>
      </c>
      <c r="E383" s="40">
        <f t="shared" si="1"/>
        <v>403808.4</v>
      </c>
      <c r="F383" s="39">
        <v>0.0</v>
      </c>
      <c r="G383" s="39">
        <v>67825.16</v>
      </c>
      <c r="H383" s="39">
        <v>0.0</v>
      </c>
      <c r="I383" s="40">
        <f t="shared" si="2"/>
        <v>67825.16</v>
      </c>
      <c r="J383" s="39">
        <v>7045098.69</v>
      </c>
      <c r="K383" s="39">
        <v>133216.02</v>
      </c>
      <c r="L383" s="39">
        <v>0.0</v>
      </c>
      <c r="M383" s="40">
        <f t="shared" si="3"/>
        <v>7178314.71</v>
      </c>
      <c r="N383" s="39">
        <v>443214.72</v>
      </c>
      <c r="O383" s="39">
        <v>641970.71</v>
      </c>
      <c r="P383" s="39">
        <v>0.0</v>
      </c>
      <c r="Q383" s="40">
        <f t="shared" si="4"/>
        <v>1085185.43</v>
      </c>
    </row>
    <row r="384" ht="15.75" customHeight="1">
      <c r="A384" s="38">
        <v>380.0</v>
      </c>
      <c r="B384" s="41">
        <v>0.0</v>
      </c>
      <c r="C384" s="41">
        <v>640921.39</v>
      </c>
      <c r="D384" s="41">
        <v>0.0</v>
      </c>
      <c r="E384" s="40">
        <f t="shared" si="1"/>
        <v>640921.39</v>
      </c>
      <c r="F384" s="41">
        <v>5028018.76</v>
      </c>
      <c r="G384" s="41">
        <v>0.0</v>
      </c>
      <c r="H384" s="41">
        <v>0.0</v>
      </c>
      <c r="I384" s="40">
        <f t="shared" si="2"/>
        <v>5028018.76</v>
      </c>
      <c r="J384" s="41">
        <v>1339515.63</v>
      </c>
      <c r="K384" s="41">
        <v>263802.31</v>
      </c>
      <c r="L384" s="41">
        <v>0.0</v>
      </c>
      <c r="M384" s="40">
        <f t="shared" si="3"/>
        <v>1603317.94</v>
      </c>
      <c r="N384" s="41">
        <v>1357109.48</v>
      </c>
      <c r="O384" s="41">
        <v>0.0</v>
      </c>
      <c r="P384" s="41">
        <v>3468036.38</v>
      </c>
      <c r="Q384" s="40">
        <f t="shared" si="4"/>
        <v>4825145.86</v>
      </c>
    </row>
    <row r="385" ht="15.75" customHeight="1">
      <c r="A385" s="38">
        <v>381.0</v>
      </c>
      <c r="B385" s="39">
        <v>0.0</v>
      </c>
      <c r="C385" s="39">
        <v>494226.77</v>
      </c>
      <c r="D385" s="39">
        <v>0.0</v>
      </c>
      <c r="E385" s="40">
        <f t="shared" si="1"/>
        <v>494226.77</v>
      </c>
      <c r="F385" s="39">
        <v>0.0</v>
      </c>
      <c r="G385" s="39">
        <v>358695.66</v>
      </c>
      <c r="H385" s="39">
        <v>0.0</v>
      </c>
      <c r="I385" s="40">
        <f t="shared" si="2"/>
        <v>358695.66</v>
      </c>
      <c r="J385" s="39">
        <v>132181.17</v>
      </c>
      <c r="K385" s="39">
        <v>222390.24</v>
      </c>
      <c r="L385" s="39">
        <v>0.0</v>
      </c>
      <c r="M385" s="40">
        <f t="shared" si="3"/>
        <v>354571.41</v>
      </c>
      <c r="N385" s="39">
        <v>657925.92</v>
      </c>
      <c r="O385" s="39">
        <v>714098.91</v>
      </c>
      <c r="P385" s="39">
        <v>1160690.39</v>
      </c>
      <c r="Q385" s="40">
        <f t="shared" si="4"/>
        <v>2532715.22</v>
      </c>
    </row>
    <row r="386" ht="15.75" customHeight="1">
      <c r="A386" s="38">
        <v>382.0</v>
      </c>
      <c r="B386" s="41">
        <v>4848370.69</v>
      </c>
      <c r="C386" s="41">
        <v>0.0</v>
      </c>
      <c r="D386" s="41">
        <v>0.0</v>
      </c>
      <c r="E386" s="40">
        <f t="shared" si="1"/>
        <v>4848370.69</v>
      </c>
      <c r="F386" s="41">
        <v>0.0</v>
      </c>
      <c r="G386" s="41">
        <v>0.0</v>
      </c>
      <c r="H386" s="41">
        <v>0.0</v>
      </c>
      <c r="I386" s="40">
        <f t="shared" si="2"/>
        <v>0</v>
      </c>
      <c r="J386" s="41">
        <v>0.0</v>
      </c>
      <c r="K386" s="41">
        <v>423207.94</v>
      </c>
      <c r="L386" s="41">
        <v>0.0</v>
      </c>
      <c r="M386" s="40">
        <f t="shared" si="3"/>
        <v>423207.94</v>
      </c>
      <c r="N386" s="41">
        <v>3187980.19</v>
      </c>
      <c r="O386" s="41">
        <v>237721.42</v>
      </c>
      <c r="P386" s="41">
        <v>0.0</v>
      </c>
      <c r="Q386" s="40">
        <f t="shared" si="4"/>
        <v>3425701.61</v>
      </c>
    </row>
    <row r="387" ht="15.75" customHeight="1">
      <c r="A387" s="38">
        <v>383.0</v>
      </c>
      <c r="B387" s="39">
        <v>0.0</v>
      </c>
      <c r="C387" s="39">
        <v>665683.23</v>
      </c>
      <c r="D387" s="39">
        <v>0.0</v>
      </c>
      <c r="E387" s="40">
        <f t="shared" si="1"/>
        <v>665683.23</v>
      </c>
      <c r="F387" s="39">
        <v>0.0</v>
      </c>
      <c r="G387" s="39">
        <v>0.0</v>
      </c>
      <c r="H387" s="39">
        <v>5560168.96</v>
      </c>
      <c r="I387" s="40">
        <f t="shared" si="2"/>
        <v>5560168.96</v>
      </c>
      <c r="J387" s="39">
        <v>250811.02</v>
      </c>
      <c r="K387" s="39">
        <v>0.0</v>
      </c>
      <c r="L387" s="39">
        <v>1812868.17</v>
      </c>
      <c r="M387" s="40">
        <f t="shared" si="3"/>
        <v>2063679.19</v>
      </c>
      <c r="N387" s="39">
        <v>0.0</v>
      </c>
      <c r="O387" s="39">
        <v>86409.05</v>
      </c>
      <c r="P387" s="39">
        <v>0.0</v>
      </c>
      <c r="Q387" s="40">
        <f t="shared" si="4"/>
        <v>86409.05</v>
      </c>
    </row>
    <row r="388" ht="15.75" customHeight="1">
      <c r="A388" s="38">
        <v>384.0</v>
      </c>
      <c r="B388" s="41">
        <v>0.0</v>
      </c>
      <c r="C388" s="41">
        <v>145379.47</v>
      </c>
      <c r="D388" s="41">
        <v>0.0</v>
      </c>
      <c r="E388" s="40">
        <f t="shared" si="1"/>
        <v>145379.47</v>
      </c>
      <c r="F388" s="41">
        <v>1506323.98</v>
      </c>
      <c r="G388" s="41">
        <v>873970.8</v>
      </c>
      <c r="H388" s="41">
        <v>0.0</v>
      </c>
      <c r="I388" s="40">
        <f t="shared" si="2"/>
        <v>2380294.78</v>
      </c>
      <c r="J388" s="41">
        <v>3248422.25</v>
      </c>
      <c r="K388" s="41">
        <v>260643.16</v>
      </c>
      <c r="L388" s="41">
        <v>0.0</v>
      </c>
      <c r="M388" s="40">
        <f t="shared" si="3"/>
        <v>3509065.41</v>
      </c>
      <c r="N388" s="41">
        <v>2101494.25</v>
      </c>
      <c r="O388" s="41">
        <v>89724.16</v>
      </c>
      <c r="P388" s="41">
        <v>0.0</v>
      </c>
      <c r="Q388" s="40">
        <f t="shared" si="4"/>
        <v>2191218.41</v>
      </c>
    </row>
    <row r="389" ht="15.75" customHeight="1">
      <c r="A389" s="38">
        <v>385.0</v>
      </c>
      <c r="B389" s="39">
        <v>1061771.84</v>
      </c>
      <c r="C389" s="39">
        <v>160909.64</v>
      </c>
      <c r="D389" s="39">
        <v>0.0</v>
      </c>
      <c r="E389" s="40">
        <f t="shared" si="1"/>
        <v>1222681.48</v>
      </c>
      <c r="F389" s="39">
        <v>3175651.79</v>
      </c>
      <c r="G389" s="39">
        <v>321197.52</v>
      </c>
      <c r="H389" s="39">
        <v>0.0</v>
      </c>
      <c r="I389" s="40">
        <f t="shared" si="2"/>
        <v>3496849.31</v>
      </c>
      <c r="J389" s="39">
        <v>0.0</v>
      </c>
      <c r="K389" s="39">
        <v>148912.11</v>
      </c>
      <c r="L389" s="39">
        <v>0.0</v>
      </c>
      <c r="M389" s="40">
        <f t="shared" si="3"/>
        <v>148912.11</v>
      </c>
      <c r="N389" s="39">
        <v>820335.94</v>
      </c>
      <c r="O389" s="39">
        <v>283263.9</v>
      </c>
      <c r="P389" s="39">
        <v>0.0</v>
      </c>
      <c r="Q389" s="40">
        <f t="shared" si="4"/>
        <v>1103599.84</v>
      </c>
    </row>
    <row r="390" ht="15.75" customHeight="1">
      <c r="A390" s="38">
        <v>386.0</v>
      </c>
      <c r="B390" s="41">
        <v>1156718.75</v>
      </c>
      <c r="C390" s="41">
        <v>0.0</v>
      </c>
      <c r="D390" s="41">
        <v>8376973.46</v>
      </c>
      <c r="E390" s="40">
        <f t="shared" si="1"/>
        <v>9533692.21</v>
      </c>
      <c r="F390" s="41">
        <v>3739157.0</v>
      </c>
      <c r="G390" s="41">
        <v>224163.72</v>
      </c>
      <c r="H390" s="41">
        <v>0.0</v>
      </c>
      <c r="I390" s="40">
        <f t="shared" si="2"/>
        <v>3963320.72</v>
      </c>
      <c r="J390" s="41">
        <v>105735.78</v>
      </c>
      <c r="K390" s="41">
        <v>188014.38</v>
      </c>
      <c r="L390" s="41">
        <v>0.0</v>
      </c>
      <c r="M390" s="40">
        <f t="shared" si="3"/>
        <v>293750.16</v>
      </c>
      <c r="N390" s="41">
        <v>0.0</v>
      </c>
      <c r="O390" s="41">
        <v>691918.72</v>
      </c>
      <c r="P390" s="41">
        <v>0.0</v>
      </c>
      <c r="Q390" s="40">
        <f t="shared" si="4"/>
        <v>691918.72</v>
      </c>
    </row>
    <row r="391" ht="15.75" customHeight="1">
      <c r="A391" s="38">
        <v>387.0</v>
      </c>
      <c r="B391" s="39">
        <v>0.0</v>
      </c>
      <c r="C391" s="39">
        <v>30190.88</v>
      </c>
      <c r="D391" s="39">
        <v>6331285.8</v>
      </c>
      <c r="E391" s="40">
        <f t="shared" si="1"/>
        <v>6361476.68</v>
      </c>
      <c r="F391" s="39">
        <v>0.0</v>
      </c>
      <c r="G391" s="39">
        <v>520419.65</v>
      </c>
      <c r="H391" s="39">
        <v>0.0</v>
      </c>
      <c r="I391" s="40">
        <f t="shared" si="2"/>
        <v>520419.65</v>
      </c>
      <c r="J391" s="39">
        <v>0.0</v>
      </c>
      <c r="K391" s="39">
        <v>298824.67</v>
      </c>
      <c r="L391" s="39">
        <v>0.0</v>
      </c>
      <c r="M391" s="40">
        <f t="shared" si="3"/>
        <v>298824.67</v>
      </c>
      <c r="N391" s="39">
        <v>0.0</v>
      </c>
      <c r="O391" s="39">
        <v>118574.79</v>
      </c>
      <c r="P391" s="39">
        <v>0.0</v>
      </c>
      <c r="Q391" s="40">
        <f t="shared" si="4"/>
        <v>118574.79</v>
      </c>
    </row>
    <row r="392" ht="15.75" customHeight="1">
      <c r="A392" s="38">
        <v>388.0</v>
      </c>
      <c r="B392" s="41">
        <v>0.0</v>
      </c>
      <c r="C392" s="41">
        <v>566759.73</v>
      </c>
      <c r="D392" s="41">
        <v>0.0</v>
      </c>
      <c r="E392" s="40">
        <f t="shared" si="1"/>
        <v>566759.73</v>
      </c>
      <c r="F392" s="41">
        <v>0.0</v>
      </c>
      <c r="G392" s="41">
        <v>313802.55</v>
      </c>
      <c r="H392" s="41">
        <v>0.0</v>
      </c>
      <c r="I392" s="40">
        <f t="shared" si="2"/>
        <v>313802.55</v>
      </c>
      <c r="J392" s="41">
        <v>0.0</v>
      </c>
      <c r="K392" s="41">
        <v>0.0</v>
      </c>
      <c r="L392" s="41">
        <v>0.0</v>
      </c>
      <c r="M392" s="40">
        <f t="shared" si="3"/>
        <v>0</v>
      </c>
      <c r="N392" s="41">
        <v>0.0</v>
      </c>
      <c r="O392" s="41">
        <v>204129.34</v>
      </c>
      <c r="P392" s="41">
        <v>0.0</v>
      </c>
      <c r="Q392" s="40">
        <f t="shared" si="4"/>
        <v>204129.34</v>
      </c>
    </row>
    <row r="393" ht="15.75" customHeight="1">
      <c r="A393" s="38">
        <v>389.0</v>
      </c>
      <c r="B393" s="39">
        <v>0.0</v>
      </c>
      <c r="C393" s="39">
        <v>305370.22</v>
      </c>
      <c r="D393" s="39">
        <v>1.016194314E7</v>
      </c>
      <c r="E393" s="40">
        <f t="shared" si="1"/>
        <v>10467313.36</v>
      </c>
      <c r="F393" s="39">
        <v>0.0</v>
      </c>
      <c r="G393" s="39">
        <v>340395.14</v>
      </c>
      <c r="H393" s="39">
        <v>0.0</v>
      </c>
      <c r="I393" s="40">
        <f t="shared" si="2"/>
        <v>340395.14</v>
      </c>
      <c r="J393" s="39">
        <v>0.0</v>
      </c>
      <c r="K393" s="39">
        <v>467807.02</v>
      </c>
      <c r="L393" s="39">
        <v>0.0</v>
      </c>
      <c r="M393" s="40">
        <f t="shared" si="3"/>
        <v>467807.02</v>
      </c>
      <c r="N393" s="39">
        <v>0.0</v>
      </c>
      <c r="O393" s="39">
        <v>411627.81</v>
      </c>
      <c r="P393" s="39">
        <v>0.0</v>
      </c>
      <c r="Q393" s="40">
        <f t="shared" si="4"/>
        <v>411627.81</v>
      </c>
    </row>
    <row r="394" ht="15.75" customHeight="1">
      <c r="A394" s="38">
        <v>390.0</v>
      </c>
      <c r="B394" s="41">
        <v>3547668.29</v>
      </c>
      <c r="C394" s="41">
        <v>0.0</v>
      </c>
      <c r="D394" s="41">
        <v>7548448.14</v>
      </c>
      <c r="E394" s="40">
        <f t="shared" si="1"/>
        <v>11096116.43</v>
      </c>
      <c r="F394" s="41">
        <v>1256713.16</v>
      </c>
      <c r="G394" s="41">
        <v>0.0</v>
      </c>
      <c r="H394" s="41">
        <v>0.0</v>
      </c>
      <c r="I394" s="40">
        <f t="shared" si="2"/>
        <v>1256713.16</v>
      </c>
      <c r="J394" s="41">
        <v>0.0</v>
      </c>
      <c r="K394" s="41">
        <v>0.0</v>
      </c>
      <c r="L394" s="41">
        <v>6010080.76</v>
      </c>
      <c r="M394" s="40">
        <f t="shared" si="3"/>
        <v>6010080.76</v>
      </c>
      <c r="N394" s="41">
        <v>0.0</v>
      </c>
      <c r="O394" s="41">
        <v>652837.03</v>
      </c>
      <c r="P394" s="41">
        <v>3159841.81</v>
      </c>
      <c r="Q394" s="40">
        <f t="shared" si="4"/>
        <v>3812678.84</v>
      </c>
    </row>
    <row r="395" ht="15.75" customHeight="1">
      <c r="A395" s="38">
        <v>391.0</v>
      </c>
      <c r="B395" s="39">
        <v>0.0</v>
      </c>
      <c r="C395" s="39">
        <v>106261.67</v>
      </c>
      <c r="D395" s="39">
        <v>0.0</v>
      </c>
      <c r="E395" s="40">
        <f t="shared" si="1"/>
        <v>106261.67</v>
      </c>
      <c r="F395" s="39">
        <v>0.0</v>
      </c>
      <c r="G395" s="39">
        <v>490310.61</v>
      </c>
      <c r="H395" s="39">
        <v>0.0</v>
      </c>
      <c r="I395" s="40">
        <f t="shared" si="2"/>
        <v>490310.61</v>
      </c>
      <c r="J395" s="39">
        <v>0.0</v>
      </c>
      <c r="K395" s="39">
        <v>71561.05</v>
      </c>
      <c r="L395" s="39">
        <v>0.0</v>
      </c>
      <c r="M395" s="40">
        <f t="shared" si="3"/>
        <v>71561.05</v>
      </c>
      <c r="N395" s="39">
        <v>6828960.35</v>
      </c>
      <c r="O395" s="39">
        <v>187281.48</v>
      </c>
      <c r="P395" s="39">
        <v>651507.96</v>
      </c>
      <c r="Q395" s="40">
        <f t="shared" si="4"/>
        <v>7667749.79</v>
      </c>
    </row>
    <row r="396" ht="15.75" customHeight="1">
      <c r="A396" s="38">
        <v>392.0</v>
      </c>
      <c r="B396" s="41">
        <v>0.0</v>
      </c>
      <c r="C396" s="41">
        <v>132503.93</v>
      </c>
      <c r="D396" s="41">
        <v>2328186.13</v>
      </c>
      <c r="E396" s="40">
        <f t="shared" si="1"/>
        <v>2460690.06</v>
      </c>
      <c r="F396" s="41">
        <v>640215.11</v>
      </c>
      <c r="G396" s="41">
        <v>850682.23</v>
      </c>
      <c r="H396" s="41">
        <v>0.0</v>
      </c>
      <c r="I396" s="40">
        <f t="shared" si="2"/>
        <v>1490897.34</v>
      </c>
      <c r="J396" s="41">
        <v>0.0</v>
      </c>
      <c r="K396" s="41">
        <v>401934.26</v>
      </c>
      <c r="L396" s="41">
        <v>0.0</v>
      </c>
      <c r="M396" s="40">
        <f t="shared" si="3"/>
        <v>401934.26</v>
      </c>
      <c r="N396" s="41">
        <v>0.0</v>
      </c>
      <c r="O396" s="41">
        <v>68435.85</v>
      </c>
      <c r="P396" s="41">
        <v>0.0</v>
      </c>
      <c r="Q396" s="40">
        <f t="shared" si="4"/>
        <v>68435.85</v>
      </c>
    </row>
    <row r="397" ht="15.75" customHeight="1">
      <c r="A397" s="38">
        <v>393.0</v>
      </c>
      <c r="B397" s="39">
        <v>272377.47</v>
      </c>
      <c r="C397" s="39">
        <v>0.0</v>
      </c>
      <c r="D397" s="39">
        <v>0.0</v>
      </c>
      <c r="E397" s="40">
        <f t="shared" si="1"/>
        <v>272377.47</v>
      </c>
      <c r="F397" s="39">
        <v>0.0</v>
      </c>
      <c r="G397" s="39">
        <v>0.0</v>
      </c>
      <c r="H397" s="39">
        <v>0.0</v>
      </c>
      <c r="I397" s="40">
        <f t="shared" si="2"/>
        <v>0</v>
      </c>
      <c r="J397" s="39">
        <v>0.0</v>
      </c>
      <c r="K397" s="39">
        <v>1315356.79</v>
      </c>
      <c r="L397" s="39">
        <v>0.0</v>
      </c>
      <c r="M397" s="40">
        <f t="shared" si="3"/>
        <v>1315356.79</v>
      </c>
      <c r="N397" s="39">
        <v>0.0</v>
      </c>
      <c r="O397" s="39">
        <v>0.0</v>
      </c>
      <c r="P397" s="39">
        <v>0.0</v>
      </c>
      <c r="Q397" s="40">
        <f t="shared" si="4"/>
        <v>0</v>
      </c>
    </row>
    <row r="398" ht="15.75" customHeight="1">
      <c r="A398" s="38">
        <v>394.0</v>
      </c>
      <c r="B398" s="41">
        <v>2694337.29</v>
      </c>
      <c r="C398" s="41">
        <v>930840.7</v>
      </c>
      <c r="D398" s="41">
        <v>0.0</v>
      </c>
      <c r="E398" s="40">
        <f t="shared" si="1"/>
        <v>3625177.99</v>
      </c>
      <c r="F398" s="41">
        <v>0.0</v>
      </c>
      <c r="G398" s="41">
        <v>0.0</v>
      </c>
      <c r="H398" s="41">
        <v>0.0</v>
      </c>
      <c r="I398" s="40">
        <f t="shared" si="2"/>
        <v>0</v>
      </c>
      <c r="J398" s="41">
        <v>0.0</v>
      </c>
      <c r="K398" s="41">
        <v>441460.54</v>
      </c>
      <c r="L398" s="41">
        <v>0.0</v>
      </c>
      <c r="M398" s="40">
        <f t="shared" si="3"/>
        <v>441460.54</v>
      </c>
      <c r="N398" s="41">
        <v>0.0</v>
      </c>
      <c r="O398" s="41">
        <v>0.0</v>
      </c>
      <c r="P398" s="41">
        <v>0.0</v>
      </c>
      <c r="Q398" s="40">
        <f t="shared" si="4"/>
        <v>0</v>
      </c>
    </row>
    <row r="399" ht="15.75" customHeight="1">
      <c r="A399" s="38">
        <v>395.0</v>
      </c>
      <c r="B399" s="39">
        <v>0.0</v>
      </c>
      <c r="C399" s="39">
        <v>246334.44</v>
      </c>
      <c r="D399" s="39">
        <v>0.0</v>
      </c>
      <c r="E399" s="40">
        <f t="shared" si="1"/>
        <v>246334.44</v>
      </c>
      <c r="F399" s="39">
        <v>0.0</v>
      </c>
      <c r="G399" s="39">
        <v>0.0</v>
      </c>
      <c r="H399" s="39">
        <v>0.0</v>
      </c>
      <c r="I399" s="40">
        <f t="shared" si="2"/>
        <v>0</v>
      </c>
      <c r="J399" s="39">
        <v>0.0</v>
      </c>
      <c r="K399" s="39">
        <v>0.0</v>
      </c>
      <c r="L399" s="39">
        <v>0.0</v>
      </c>
      <c r="M399" s="40">
        <f t="shared" si="3"/>
        <v>0</v>
      </c>
      <c r="N399" s="39">
        <v>0.0</v>
      </c>
      <c r="O399" s="39">
        <v>0.0</v>
      </c>
      <c r="P399" s="39">
        <v>2618627.1</v>
      </c>
      <c r="Q399" s="40">
        <f t="shared" si="4"/>
        <v>2618627.1</v>
      </c>
    </row>
    <row r="400" ht="15.75" customHeight="1">
      <c r="A400" s="38">
        <v>396.0</v>
      </c>
      <c r="B400" s="41">
        <v>0.0</v>
      </c>
      <c r="C400" s="41">
        <v>0.0</v>
      </c>
      <c r="D400" s="41">
        <v>0.0</v>
      </c>
      <c r="E400" s="40">
        <f t="shared" si="1"/>
        <v>0</v>
      </c>
      <c r="F400" s="41">
        <v>0.0</v>
      </c>
      <c r="G400" s="41">
        <v>0.0</v>
      </c>
      <c r="H400" s="41">
        <v>0.0</v>
      </c>
      <c r="I400" s="40">
        <f t="shared" si="2"/>
        <v>0</v>
      </c>
      <c r="J400" s="41">
        <v>235626.73</v>
      </c>
      <c r="K400" s="41">
        <v>0.0</v>
      </c>
      <c r="L400" s="41">
        <v>0.0</v>
      </c>
      <c r="M400" s="40">
        <f t="shared" si="3"/>
        <v>235626.73</v>
      </c>
      <c r="N400" s="41">
        <v>380597.74</v>
      </c>
      <c r="O400" s="41">
        <v>0.0</v>
      </c>
      <c r="P400" s="41">
        <v>0.0</v>
      </c>
      <c r="Q400" s="40">
        <f t="shared" si="4"/>
        <v>380597.74</v>
      </c>
    </row>
    <row r="401" ht="15.75" customHeight="1">
      <c r="A401" s="38">
        <v>397.0</v>
      </c>
      <c r="B401" s="39">
        <v>2.660880016E7</v>
      </c>
      <c r="C401" s="39">
        <v>716867.48</v>
      </c>
      <c r="D401" s="39">
        <v>2557807.33</v>
      </c>
      <c r="E401" s="40">
        <f t="shared" si="1"/>
        <v>29883474.97</v>
      </c>
      <c r="F401" s="39">
        <v>1245850.0</v>
      </c>
      <c r="G401" s="39">
        <v>0.0</v>
      </c>
      <c r="H401" s="39">
        <v>0.0</v>
      </c>
      <c r="I401" s="40">
        <f t="shared" si="2"/>
        <v>1245850</v>
      </c>
      <c r="J401" s="39">
        <v>3595660.26</v>
      </c>
      <c r="K401" s="39">
        <v>1261539.92</v>
      </c>
      <c r="L401" s="39">
        <v>0.0</v>
      </c>
      <c r="M401" s="40">
        <f t="shared" si="3"/>
        <v>4857200.18</v>
      </c>
      <c r="N401" s="39">
        <v>0.0</v>
      </c>
      <c r="O401" s="39">
        <v>77071.9</v>
      </c>
      <c r="P401" s="39">
        <v>0.0</v>
      </c>
      <c r="Q401" s="40">
        <f t="shared" si="4"/>
        <v>77071.9</v>
      </c>
    </row>
    <row r="402" ht="15.75" customHeight="1">
      <c r="A402" s="38">
        <v>398.0</v>
      </c>
      <c r="B402" s="41">
        <v>549247.12</v>
      </c>
      <c r="C402" s="41">
        <v>0.0</v>
      </c>
      <c r="D402" s="41">
        <v>0.0</v>
      </c>
      <c r="E402" s="40">
        <f t="shared" si="1"/>
        <v>549247.12</v>
      </c>
      <c r="F402" s="41">
        <v>0.0</v>
      </c>
      <c r="G402" s="41">
        <v>0.0</v>
      </c>
      <c r="H402" s="41">
        <v>0.0</v>
      </c>
      <c r="I402" s="40">
        <f t="shared" si="2"/>
        <v>0</v>
      </c>
      <c r="J402" s="41">
        <v>1.773834074E7</v>
      </c>
      <c r="K402" s="41">
        <v>76636.62</v>
      </c>
      <c r="L402" s="41">
        <v>0.0</v>
      </c>
      <c r="M402" s="40">
        <f t="shared" si="3"/>
        <v>17814977.36</v>
      </c>
      <c r="N402" s="41">
        <v>936713.87</v>
      </c>
      <c r="O402" s="41">
        <v>0.0</v>
      </c>
      <c r="P402" s="41">
        <v>0.0</v>
      </c>
      <c r="Q402" s="40">
        <f t="shared" si="4"/>
        <v>936713.87</v>
      </c>
    </row>
    <row r="403" ht="15.75" customHeight="1">
      <c r="A403" s="38">
        <v>399.0</v>
      </c>
      <c r="B403" s="39">
        <v>0.0</v>
      </c>
      <c r="C403" s="39">
        <v>57231.81</v>
      </c>
      <c r="D403" s="39">
        <v>0.0</v>
      </c>
      <c r="E403" s="40">
        <f t="shared" si="1"/>
        <v>57231.81</v>
      </c>
      <c r="F403" s="39">
        <v>0.0</v>
      </c>
      <c r="G403" s="39">
        <v>0.0</v>
      </c>
      <c r="H403" s="39">
        <v>0.0</v>
      </c>
      <c r="I403" s="40">
        <f t="shared" si="2"/>
        <v>0</v>
      </c>
      <c r="J403" s="39">
        <v>376251.71</v>
      </c>
      <c r="K403" s="39">
        <v>48226.86</v>
      </c>
      <c r="L403" s="39">
        <v>0.0</v>
      </c>
      <c r="M403" s="40">
        <f t="shared" si="3"/>
        <v>424478.57</v>
      </c>
      <c r="N403" s="39">
        <v>0.0</v>
      </c>
      <c r="O403" s="39">
        <v>0.0</v>
      </c>
      <c r="P403" s="39">
        <v>0.0</v>
      </c>
      <c r="Q403" s="40">
        <f t="shared" si="4"/>
        <v>0</v>
      </c>
    </row>
    <row r="404" ht="15.75" customHeight="1">
      <c r="A404" s="38">
        <v>400.0</v>
      </c>
      <c r="B404" s="41">
        <v>5267897.81</v>
      </c>
      <c r="C404" s="41">
        <v>62773.85</v>
      </c>
      <c r="D404" s="41">
        <v>0.0</v>
      </c>
      <c r="E404" s="40">
        <f t="shared" si="1"/>
        <v>5330671.66</v>
      </c>
      <c r="F404" s="41">
        <v>1060602.89</v>
      </c>
      <c r="G404" s="41">
        <v>648175.02</v>
      </c>
      <c r="H404" s="41">
        <v>0.0</v>
      </c>
      <c r="I404" s="40">
        <f t="shared" si="2"/>
        <v>1708777.91</v>
      </c>
      <c r="J404" s="41">
        <v>3061581.25</v>
      </c>
      <c r="K404" s="41">
        <v>44437.27</v>
      </c>
      <c r="L404" s="41">
        <v>1048582.22</v>
      </c>
      <c r="M404" s="40">
        <f t="shared" si="3"/>
        <v>4154600.74</v>
      </c>
      <c r="N404" s="41">
        <v>795544.09</v>
      </c>
      <c r="O404" s="41">
        <v>124890.68</v>
      </c>
      <c r="P404" s="41">
        <v>0.0</v>
      </c>
      <c r="Q404" s="40">
        <f t="shared" si="4"/>
        <v>920434.77</v>
      </c>
    </row>
    <row r="405" ht="15.75" customHeight="1">
      <c r="A405" s="38">
        <v>401.0</v>
      </c>
      <c r="B405" s="39">
        <v>247869.35</v>
      </c>
      <c r="C405" s="39">
        <v>438913.12</v>
      </c>
      <c r="D405" s="39">
        <v>0.0</v>
      </c>
      <c r="E405" s="40">
        <f t="shared" si="1"/>
        <v>686782.47</v>
      </c>
      <c r="F405" s="39">
        <v>751406.92</v>
      </c>
      <c r="G405" s="39">
        <v>0.0</v>
      </c>
      <c r="H405" s="39">
        <v>0.0</v>
      </c>
      <c r="I405" s="40">
        <f t="shared" si="2"/>
        <v>751406.92</v>
      </c>
      <c r="J405" s="39">
        <v>1401055.59</v>
      </c>
      <c r="K405" s="39">
        <v>0.0</v>
      </c>
      <c r="L405" s="39">
        <v>0.0</v>
      </c>
      <c r="M405" s="40">
        <f t="shared" si="3"/>
        <v>1401055.59</v>
      </c>
      <c r="N405" s="39">
        <v>2972399.96</v>
      </c>
      <c r="O405" s="39">
        <v>351881.59</v>
      </c>
      <c r="P405" s="39">
        <v>0.0</v>
      </c>
      <c r="Q405" s="40">
        <f t="shared" si="4"/>
        <v>3324281.55</v>
      </c>
    </row>
    <row r="406" ht="15.75" customHeight="1">
      <c r="A406" s="38">
        <v>402.0</v>
      </c>
      <c r="B406" s="41">
        <v>0.0</v>
      </c>
      <c r="C406" s="41">
        <v>306933.05</v>
      </c>
      <c r="D406" s="41">
        <v>0.0</v>
      </c>
      <c r="E406" s="40">
        <f t="shared" si="1"/>
        <v>306933.05</v>
      </c>
      <c r="F406" s="41">
        <v>0.0</v>
      </c>
      <c r="G406" s="41">
        <v>447393.27</v>
      </c>
      <c r="H406" s="41">
        <v>0.0</v>
      </c>
      <c r="I406" s="40">
        <f t="shared" si="2"/>
        <v>447393.27</v>
      </c>
      <c r="J406" s="41">
        <v>0.0</v>
      </c>
      <c r="K406" s="41">
        <v>0.0</v>
      </c>
      <c r="L406" s="41">
        <v>0.0</v>
      </c>
      <c r="M406" s="40">
        <f t="shared" si="3"/>
        <v>0</v>
      </c>
      <c r="N406" s="41">
        <v>1173163.08</v>
      </c>
      <c r="O406" s="41">
        <v>192520.43</v>
      </c>
      <c r="P406" s="41">
        <v>0.0</v>
      </c>
      <c r="Q406" s="40">
        <f t="shared" si="4"/>
        <v>1365683.51</v>
      </c>
    </row>
    <row r="407" ht="15.75" customHeight="1">
      <c r="A407" s="38">
        <v>403.0</v>
      </c>
      <c r="B407" s="39">
        <v>2140251.17</v>
      </c>
      <c r="C407" s="39">
        <v>0.0</v>
      </c>
      <c r="D407" s="39">
        <v>0.0</v>
      </c>
      <c r="E407" s="40">
        <f t="shared" si="1"/>
        <v>2140251.17</v>
      </c>
      <c r="F407" s="39">
        <v>0.0</v>
      </c>
      <c r="G407" s="39">
        <v>0.0</v>
      </c>
      <c r="H407" s="39">
        <v>0.0</v>
      </c>
      <c r="I407" s="40">
        <f t="shared" si="2"/>
        <v>0</v>
      </c>
      <c r="J407" s="39">
        <v>0.0</v>
      </c>
      <c r="K407" s="39">
        <v>474393.47</v>
      </c>
      <c r="L407" s="39">
        <v>0.0</v>
      </c>
      <c r="M407" s="40">
        <f t="shared" si="3"/>
        <v>474393.47</v>
      </c>
      <c r="N407" s="39">
        <v>0.0</v>
      </c>
      <c r="O407" s="39">
        <v>729752.29</v>
      </c>
      <c r="P407" s="39">
        <v>467123.32</v>
      </c>
      <c r="Q407" s="40">
        <f t="shared" si="4"/>
        <v>1196875.61</v>
      </c>
    </row>
    <row r="408" ht="15.75" customHeight="1">
      <c r="A408" s="38">
        <v>404.0</v>
      </c>
      <c r="B408" s="41">
        <v>0.0</v>
      </c>
      <c r="C408" s="41">
        <v>112435.3</v>
      </c>
      <c r="D408" s="41">
        <v>0.0</v>
      </c>
      <c r="E408" s="40">
        <f t="shared" si="1"/>
        <v>112435.3</v>
      </c>
      <c r="F408" s="41">
        <v>163924.47</v>
      </c>
      <c r="G408" s="41">
        <v>1050457.61</v>
      </c>
      <c r="H408" s="41">
        <v>0.0</v>
      </c>
      <c r="I408" s="40">
        <f t="shared" si="2"/>
        <v>1214382.08</v>
      </c>
      <c r="J408" s="41">
        <v>0.0</v>
      </c>
      <c r="K408" s="41">
        <v>329915.56</v>
      </c>
      <c r="L408" s="41">
        <v>0.0</v>
      </c>
      <c r="M408" s="40">
        <f t="shared" si="3"/>
        <v>329915.56</v>
      </c>
      <c r="N408" s="41">
        <v>3909407.93</v>
      </c>
      <c r="O408" s="41">
        <v>0.0</v>
      </c>
      <c r="P408" s="41">
        <v>0.0</v>
      </c>
      <c r="Q408" s="40">
        <f t="shared" si="4"/>
        <v>3909407.93</v>
      </c>
    </row>
    <row r="409" ht="15.75" customHeight="1">
      <c r="A409" s="38">
        <v>405.0</v>
      </c>
      <c r="B409" s="39">
        <v>0.0</v>
      </c>
      <c r="C409" s="39">
        <v>0.0</v>
      </c>
      <c r="D409" s="39">
        <v>0.0</v>
      </c>
      <c r="E409" s="40">
        <f t="shared" si="1"/>
        <v>0</v>
      </c>
      <c r="F409" s="39">
        <v>4189878.88</v>
      </c>
      <c r="G409" s="39">
        <v>0.0</v>
      </c>
      <c r="H409" s="39">
        <v>0.0</v>
      </c>
      <c r="I409" s="40">
        <f t="shared" si="2"/>
        <v>4189878.88</v>
      </c>
      <c r="J409" s="39">
        <v>0.0</v>
      </c>
      <c r="K409" s="39">
        <v>155432.08</v>
      </c>
      <c r="L409" s="39">
        <v>0.0</v>
      </c>
      <c r="M409" s="40">
        <f t="shared" si="3"/>
        <v>155432.08</v>
      </c>
      <c r="N409" s="39">
        <v>0.0</v>
      </c>
      <c r="O409" s="39">
        <v>0.0</v>
      </c>
      <c r="P409" s="39">
        <v>0.0</v>
      </c>
      <c r="Q409" s="40">
        <f t="shared" si="4"/>
        <v>0</v>
      </c>
    </row>
    <row r="410" ht="15.75" customHeight="1">
      <c r="A410" s="38">
        <v>406.0</v>
      </c>
      <c r="B410" s="41">
        <v>0.0</v>
      </c>
      <c r="C410" s="41">
        <v>0.0</v>
      </c>
      <c r="D410" s="41">
        <v>0.0</v>
      </c>
      <c r="E410" s="40">
        <f t="shared" si="1"/>
        <v>0</v>
      </c>
      <c r="F410" s="41">
        <v>0.0</v>
      </c>
      <c r="G410" s="41">
        <v>0.0</v>
      </c>
      <c r="H410" s="41">
        <v>0.0</v>
      </c>
      <c r="I410" s="40">
        <f t="shared" si="2"/>
        <v>0</v>
      </c>
      <c r="J410" s="41">
        <v>0.0</v>
      </c>
      <c r="K410" s="41">
        <v>0.0</v>
      </c>
      <c r="L410" s="41">
        <v>0.0</v>
      </c>
      <c r="M410" s="40">
        <f t="shared" si="3"/>
        <v>0</v>
      </c>
      <c r="N410" s="41">
        <v>0.0</v>
      </c>
      <c r="O410" s="41">
        <v>638215.28</v>
      </c>
      <c r="P410" s="41">
        <v>0.0</v>
      </c>
      <c r="Q410" s="40">
        <f t="shared" si="4"/>
        <v>638215.28</v>
      </c>
    </row>
    <row r="411" ht="15.75" customHeight="1">
      <c r="A411" s="38">
        <v>407.0</v>
      </c>
      <c r="B411" s="39">
        <v>0.0</v>
      </c>
      <c r="C411" s="39">
        <v>559728.17</v>
      </c>
      <c r="D411" s="39">
        <v>0.0</v>
      </c>
      <c r="E411" s="40">
        <f t="shared" si="1"/>
        <v>559728.17</v>
      </c>
      <c r="F411" s="39">
        <v>0.0</v>
      </c>
      <c r="G411" s="39">
        <v>459282.45</v>
      </c>
      <c r="H411" s="39">
        <v>0.0</v>
      </c>
      <c r="I411" s="40">
        <f t="shared" si="2"/>
        <v>459282.45</v>
      </c>
      <c r="J411" s="39">
        <v>0.0</v>
      </c>
      <c r="K411" s="39">
        <v>222141.83</v>
      </c>
      <c r="L411" s="39">
        <v>0.0</v>
      </c>
      <c r="M411" s="40">
        <f t="shared" si="3"/>
        <v>222141.83</v>
      </c>
      <c r="N411" s="39">
        <v>0.0</v>
      </c>
      <c r="O411" s="39">
        <v>0.0</v>
      </c>
      <c r="P411" s="39">
        <v>0.0</v>
      </c>
      <c r="Q411" s="40">
        <f t="shared" si="4"/>
        <v>0</v>
      </c>
    </row>
    <row r="412" ht="15.75" customHeight="1">
      <c r="A412" s="38">
        <v>408.0</v>
      </c>
      <c r="B412" s="41">
        <v>0.0</v>
      </c>
      <c r="C412" s="41">
        <v>0.0</v>
      </c>
      <c r="D412" s="41">
        <v>0.0</v>
      </c>
      <c r="E412" s="40">
        <f t="shared" si="1"/>
        <v>0</v>
      </c>
      <c r="F412" s="41">
        <v>1428236.52</v>
      </c>
      <c r="G412" s="41">
        <v>603265.27</v>
      </c>
      <c r="H412" s="41">
        <v>0.0</v>
      </c>
      <c r="I412" s="40">
        <f t="shared" si="2"/>
        <v>2031501.79</v>
      </c>
      <c r="J412" s="41">
        <v>3927919.1</v>
      </c>
      <c r="K412" s="41">
        <v>0.0</v>
      </c>
      <c r="L412" s="41">
        <v>0.0</v>
      </c>
      <c r="M412" s="40">
        <f t="shared" si="3"/>
        <v>3927919.1</v>
      </c>
      <c r="N412" s="41">
        <v>0.0</v>
      </c>
      <c r="O412" s="41">
        <v>290449.32</v>
      </c>
      <c r="P412" s="41">
        <v>0.0</v>
      </c>
      <c r="Q412" s="40">
        <f t="shared" si="4"/>
        <v>290449.32</v>
      </c>
    </row>
    <row r="413" ht="15.75" customHeight="1">
      <c r="A413" s="38">
        <v>409.0</v>
      </c>
      <c r="B413" s="39">
        <v>0.0</v>
      </c>
      <c r="C413" s="39">
        <v>259620.35</v>
      </c>
      <c r="D413" s="39">
        <v>0.0</v>
      </c>
      <c r="E413" s="40">
        <f t="shared" si="1"/>
        <v>259620.35</v>
      </c>
      <c r="F413" s="39">
        <v>330333.08</v>
      </c>
      <c r="G413" s="39">
        <v>618896.91</v>
      </c>
      <c r="H413" s="39">
        <v>0.0</v>
      </c>
      <c r="I413" s="40">
        <f t="shared" si="2"/>
        <v>949229.99</v>
      </c>
      <c r="J413" s="39">
        <v>0.0</v>
      </c>
      <c r="K413" s="39">
        <v>185473.42</v>
      </c>
      <c r="L413" s="39">
        <v>1.265344109E7</v>
      </c>
      <c r="M413" s="40">
        <f t="shared" si="3"/>
        <v>12838914.51</v>
      </c>
      <c r="N413" s="39">
        <v>0.0</v>
      </c>
      <c r="O413" s="39">
        <v>0.0</v>
      </c>
      <c r="P413" s="39">
        <v>0.0</v>
      </c>
      <c r="Q413" s="40">
        <f t="shared" si="4"/>
        <v>0</v>
      </c>
    </row>
    <row r="414" ht="15.75" customHeight="1">
      <c r="A414" s="38">
        <v>410.0</v>
      </c>
      <c r="B414" s="41">
        <v>0.0</v>
      </c>
      <c r="C414" s="41">
        <v>0.0</v>
      </c>
      <c r="D414" s="41">
        <v>4971270.76</v>
      </c>
      <c r="E414" s="40">
        <f t="shared" si="1"/>
        <v>4971270.76</v>
      </c>
      <c r="F414" s="41">
        <v>1339894.08</v>
      </c>
      <c r="G414" s="41">
        <v>0.0</v>
      </c>
      <c r="H414" s="41">
        <v>1826803.54</v>
      </c>
      <c r="I414" s="40">
        <f t="shared" si="2"/>
        <v>3166697.62</v>
      </c>
      <c r="J414" s="41">
        <v>0.0</v>
      </c>
      <c r="K414" s="41">
        <v>111658.01</v>
      </c>
      <c r="L414" s="41">
        <v>0.0</v>
      </c>
      <c r="M414" s="40">
        <f t="shared" si="3"/>
        <v>111658.01</v>
      </c>
      <c r="N414" s="41">
        <v>0.0</v>
      </c>
      <c r="O414" s="41">
        <v>424971.17</v>
      </c>
      <c r="P414" s="41">
        <v>2897579.31</v>
      </c>
      <c r="Q414" s="40">
        <f t="shared" si="4"/>
        <v>3322550.48</v>
      </c>
    </row>
    <row r="415" ht="15.75" customHeight="1">
      <c r="A415" s="38">
        <v>411.0</v>
      </c>
      <c r="B415" s="39">
        <v>456211.91</v>
      </c>
      <c r="C415" s="39">
        <v>101531.31</v>
      </c>
      <c r="D415" s="39">
        <v>0.0</v>
      </c>
      <c r="E415" s="40">
        <f t="shared" si="1"/>
        <v>557743.22</v>
      </c>
      <c r="F415" s="39">
        <v>5362441.74</v>
      </c>
      <c r="G415" s="39">
        <v>0.0</v>
      </c>
      <c r="H415" s="39">
        <v>0.0</v>
      </c>
      <c r="I415" s="40">
        <f t="shared" si="2"/>
        <v>5362441.74</v>
      </c>
      <c r="J415" s="39">
        <v>794454.37</v>
      </c>
      <c r="K415" s="39">
        <v>184698.09</v>
      </c>
      <c r="L415" s="39">
        <v>0.0</v>
      </c>
      <c r="M415" s="40">
        <f t="shared" si="3"/>
        <v>979152.46</v>
      </c>
      <c r="N415" s="39">
        <v>0.0</v>
      </c>
      <c r="O415" s="39">
        <v>0.0</v>
      </c>
      <c r="P415" s="39">
        <v>0.0</v>
      </c>
      <c r="Q415" s="40">
        <f t="shared" si="4"/>
        <v>0</v>
      </c>
    </row>
    <row r="416" ht="15.75" customHeight="1">
      <c r="A416" s="38">
        <v>412.0</v>
      </c>
      <c r="B416" s="41">
        <v>0.0</v>
      </c>
      <c r="C416" s="41">
        <v>0.0</v>
      </c>
      <c r="D416" s="41">
        <v>0.0</v>
      </c>
      <c r="E416" s="40">
        <f t="shared" si="1"/>
        <v>0</v>
      </c>
      <c r="F416" s="41">
        <v>854505.18</v>
      </c>
      <c r="G416" s="41">
        <v>955033.89</v>
      </c>
      <c r="H416" s="41">
        <v>0.0</v>
      </c>
      <c r="I416" s="40">
        <f t="shared" si="2"/>
        <v>1809539.07</v>
      </c>
      <c r="J416" s="41">
        <v>4650513.43</v>
      </c>
      <c r="K416" s="41">
        <v>0.0</v>
      </c>
      <c r="L416" s="41">
        <v>0.0</v>
      </c>
      <c r="M416" s="40">
        <f t="shared" si="3"/>
        <v>4650513.43</v>
      </c>
      <c r="N416" s="41">
        <v>0.0</v>
      </c>
      <c r="O416" s="41">
        <v>0.0</v>
      </c>
      <c r="P416" s="41">
        <v>0.0</v>
      </c>
      <c r="Q416" s="40">
        <f t="shared" si="4"/>
        <v>0</v>
      </c>
    </row>
    <row r="417" ht="15.75" customHeight="1">
      <c r="A417" s="38">
        <v>413.0</v>
      </c>
      <c r="B417" s="39">
        <v>0.0</v>
      </c>
      <c r="C417" s="39">
        <v>0.0</v>
      </c>
      <c r="D417" s="39">
        <v>0.0</v>
      </c>
      <c r="E417" s="40">
        <f t="shared" si="1"/>
        <v>0</v>
      </c>
      <c r="F417" s="39">
        <v>0.0</v>
      </c>
      <c r="G417" s="39">
        <v>0.0</v>
      </c>
      <c r="H417" s="39">
        <v>0.0</v>
      </c>
      <c r="I417" s="40">
        <f t="shared" si="2"/>
        <v>0</v>
      </c>
      <c r="J417" s="39">
        <v>1505611.22</v>
      </c>
      <c r="K417" s="39">
        <v>285844.77</v>
      </c>
      <c r="L417" s="39">
        <v>0.0</v>
      </c>
      <c r="M417" s="40">
        <f t="shared" si="3"/>
        <v>1791455.99</v>
      </c>
      <c r="N417" s="39">
        <v>0.0</v>
      </c>
      <c r="O417" s="39">
        <v>159768.7</v>
      </c>
      <c r="P417" s="39">
        <v>1652586.83</v>
      </c>
      <c r="Q417" s="40">
        <f t="shared" si="4"/>
        <v>1812355.53</v>
      </c>
    </row>
    <row r="418" ht="15.75" customHeight="1">
      <c r="A418" s="38">
        <v>414.0</v>
      </c>
      <c r="B418" s="41">
        <v>2776319.72</v>
      </c>
      <c r="C418" s="41">
        <v>910586.81</v>
      </c>
      <c r="D418" s="41">
        <v>0.0</v>
      </c>
      <c r="E418" s="40">
        <f t="shared" si="1"/>
        <v>3686906.53</v>
      </c>
      <c r="F418" s="41">
        <v>2.60413402E7</v>
      </c>
      <c r="G418" s="41">
        <v>0.0</v>
      </c>
      <c r="H418" s="41">
        <v>0.0</v>
      </c>
      <c r="I418" s="40">
        <f t="shared" si="2"/>
        <v>26041340.2</v>
      </c>
      <c r="J418" s="41">
        <v>6621939.87</v>
      </c>
      <c r="K418" s="41">
        <v>315558.2</v>
      </c>
      <c r="L418" s="41">
        <v>0.0</v>
      </c>
      <c r="M418" s="40">
        <f t="shared" si="3"/>
        <v>6937498.07</v>
      </c>
      <c r="N418" s="41">
        <v>1021587.76</v>
      </c>
      <c r="O418" s="41">
        <v>0.0</v>
      </c>
      <c r="P418" s="41">
        <v>0.0</v>
      </c>
      <c r="Q418" s="40">
        <f t="shared" si="4"/>
        <v>1021587.76</v>
      </c>
    </row>
    <row r="419" ht="15.75" customHeight="1">
      <c r="A419" s="38">
        <v>415.0</v>
      </c>
      <c r="B419" s="39">
        <v>0.0</v>
      </c>
      <c r="C419" s="39">
        <v>341255.68</v>
      </c>
      <c r="D419" s="39">
        <v>0.0</v>
      </c>
      <c r="E419" s="40">
        <f t="shared" si="1"/>
        <v>341255.68</v>
      </c>
      <c r="F419" s="39">
        <v>0.0</v>
      </c>
      <c r="G419" s="39">
        <v>0.0</v>
      </c>
      <c r="H419" s="39">
        <v>0.0</v>
      </c>
      <c r="I419" s="40">
        <f t="shared" si="2"/>
        <v>0</v>
      </c>
      <c r="J419" s="39">
        <v>686726.05</v>
      </c>
      <c r="K419" s="39">
        <v>239939.62</v>
      </c>
      <c r="L419" s="39">
        <v>0.0</v>
      </c>
      <c r="M419" s="40">
        <f t="shared" si="3"/>
        <v>926665.67</v>
      </c>
      <c r="N419" s="39">
        <v>5112038.79</v>
      </c>
      <c r="O419" s="39">
        <v>0.0</v>
      </c>
      <c r="P419" s="39">
        <v>0.0</v>
      </c>
      <c r="Q419" s="40">
        <f t="shared" si="4"/>
        <v>5112038.79</v>
      </c>
    </row>
    <row r="420" ht="15.75" customHeight="1">
      <c r="A420" s="38">
        <v>416.0</v>
      </c>
      <c r="B420" s="41">
        <v>0.0</v>
      </c>
      <c r="C420" s="41">
        <v>219650.62</v>
      </c>
      <c r="D420" s="41">
        <v>0.0</v>
      </c>
      <c r="E420" s="40">
        <f t="shared" si="1"/>
        <v>219650.62</v>
      </c>
      <c r="F420" s="41">
        <v>0.0</v>
      </c>
      <c r="G420" s="41">
        <v>0.0</v>
      </c>
      <c r="H420" s="41">
        <v>0.0</v>
      </c>
      <c r="I420" s="40">
        <f t="shared" si="2"/>
        <v>0</v>
      </c>
      <c r="J420" s="41">
        <v>0.0</v>
      </c>
      <c r="K420" s="41">
        <v>0.0</v>
      </c>
      <c r="L420" s="41">
        <v>1851866.09</v>
      </c>
      <c r="M420" s="40">
        <f t="shared" si="3"/>
        <v>1851866.09</v>
      </c>
      <c r="N420" s="41">
        <v>0.0</v>
      </c>
      <c r="O420" s="41">
        <v>214402.11</v>
      </c>
      <c r="P420" s="41">
        <v>0.0</v>
      </c>
      <c r="Q420" s="40">
        <f t="shared" si="4"/>
        <v>214402.11</v>
      </c>
    </row>
    <row r="421" ht="15.75" customHeight="1">
      <c r="A421" s="38">
        <v>417.0</v>
      </c>
      <c r="B421" s="39">
        <v>0.0</v>
      </c>
      <c r="C421" s="39">
        <v>0.0</v>
      </c>
      <c r="D421" s="39">
        <v>0.0</v>
      </c>
      <c r="E421" s="40">
        <f t="shared" si="1"/>
        <v>0</v>
      </c>
      <c r="F421" s="39">
        <v>95618.55</v>
      </c>
      <c r="G421" s="39">
        <v>0.0</v>
      </c>
      <c r="H421" s="39">
        <v>0.0</v>
      </c>
      <c r="I421" s="40">
        <f t="shared" si="2"/>
        <v>95618.55</v>
      </c>
      <c r="J421" s="39">
        <v>0.0</v>
      </c>
      <c r="K421" s="39">
        <v>77429.13</v>
      </c>
      <c r="L421" s="39">
        <v>0.0</v>
      </c>
      <c r="M421" s="40">
        <f t="shared" si="3"/>
        <v>77429.13</v>
      </c>
      <c r="N421" s="39">
        <v>0.0</v>
      </c>
      <c r="O421" s="39">
        <v>0.0</v>
      </c>
      <c r="P421" s="39">
        <v>0.0</v>
      </c>
      <c r="Q421" s="40">
        <f t="shared" si="4"/>
        <v>0</v>
      </c>
    </row>
    <row r="422" ht="15.75" customHeight="1">
      <c r="A422" s="38">
        <v>418.0</v>
      </c>
      <c r="B422" s="41">
        <v>0.0</v>
      </c>
      <c r="C422" s="41">
        <v>0.0</v>
      </c>
      <c r="D422" s="41">
        <v>780800.98</v>
      </c>
      <c r="E422" s="40">
        <f t="shared" si="1"/>
        <v>780800.98</v>
      </c>
      <c r="F422" s="41">
        <v>0.0</v>
      </c>
      <c r="G422" s="41">
        <v>549492.33</v>
      </c>
      <c r="H422" s="41">
        <v>0.0</v>
      </c>
      <c r="I422" s="40">
        <f t="shared" si="2"/>
        <v>549492.33</v>
      </c>
      <c r="J422" s="41">
        <v>482952.83</v>
      </c>
      <c r="K422" s="41">
        <v>0.0</v>
      </c>
      <c r="L422" s="41">
        <v>1893405.36</v>
      </c>
      <c r="M422" s="40">
        <f t="shared" si="3"/>
        <v>2376358.19</v>
      </c>
      <c r="N422" s="41">
        <v>0.0</v>
      </c>
      <c r="O422" s="41">
        <v>0.0</v>
      </c>
      <c r="P422" s="41">
        <v>0.0</v>
      </c>
      <c r="Q422" s="40">
        <f t="shared" si="4"/>
        <v>0</v>
      </c>
    </row>
    <row r="423" ht="15.75" customHeight="1">
      <c r="A423" s="38">
        <v>419.0</v>
      </c>
      <c r="B423" s="39">
        <v>0.0</v>
      </c>
      <c r="C423" s="39">
        <v>0.0</v>
      </c>
      <c r="D423" s="39">
        <v>3124553.51</v>
      </c>
      <c r="E423" s="40">
        <f t="shared" si="1"/>
        <v>3124553.51</v>
      </c>
      <c r="F423" s="39">
        <v>0.0</v>
      </c>
      <c r="G423" s="39">
        <v>0.0</v>
      </c>
      <c r="H423" s="39">
        <v>0.0</v>
      </c>
      <c r="I423" s="40">
        <f t="shared" si="2"/>
        <v>0</v>
      </c>
      <c r="J423" s="39">
        <v>0.0</v>
      </c>
      <c r="K423" s="39">
        <v>231594.5</v>
      </c>
      <c r="L423" s="39">
        <v>4934270.35</v>
      </c>
      <c r="M423" s="40">
        <f t="shared" si="3"/>
        <v>5165864.85</v>
      </c>
      <c r="N423" s="39">
        <v>0.0</v>
      </c>
      <c r="O423" s="39">
        <v>3079558.89</v>
      </c>
      <c r="P423" s="39">
        <v>2223148.82</v>
      </c>
      <c r="Q423" s="40">
        <f t="shared" si="4"/>
        <v>5302707.71</v>
      </c>
    </row>
    <row r="424" ht="15.75" customHeight="1">
      <c r="A424" s="38">
        <v>420.0</v>
      </c>
      <c r="B424" s="41">
        <v>439134.02</v>
      </c>
      <c r="C424" s="41">
        <v>277027.98</v>
      </c>
      <c r="D424" s="41">
        <v>0.0</v>
      </c>
      <c r="E424" s="40">
        <f t="shared" si="1"/>
        <v>716162</v>
      </c>
      <c r="F424" s="41">
        <v>0.0</v>
      </c>
      <c r="G424" s="41">
        <v>0.0</v>
      </c>
      <c r="H424" s="41">
        <v>0.0</v>
      </c>
      <c r="I424" s="40">
        <f t="shared" si="2"/>
        <v>0</v>
      </c>
      <c r="J424" s="41">
        <v>1567402.0</v>
      </c>
      <c r="K424" s="41">
        <v>0.0</v>
      </c>
      <c r="L424" s="41">
        <v>2294130.42</v>
      </c>
      <c r="M424" s="40">
        <f t="shared" si="3"/>
        <v>3861532.42</v>
      </c>
      <c r="N424" s="41">
        <v>0.0</v>
      </c>
      <c r="O424" s="41">
        <v>110793.8</v>
      </c>
      <c r="P424" s="41">
        <v>0.0</v>
      </c>
      <c r="Q424" s="40">
        <f t="shared" si="4"/>
        <v>110793.8</v>
      </c>
    </row>
    <row r="425" ht="15.75" customHeight="1">
      <c r="A425" s="38">
        <v>421.0</v>
      </c>
      <c r="B425" s="39">
        <v>176437.94</v>
      </c>
      <c r="C425" s="39">
        <v>159597.33</v>
      </c>
      <c r="D425" s="39">
        <v>3652276.93</v>
      </c>
      <c r="E425" s="40">
        <f t="shared" si="1"/>
        <v>3988312.2</v>
      </c>
      <c r="F425" s="39">
        <v>0.0</v>
      </c>
      <c r="G425" s="39">
        <v>127877.37</v>
      </c>
      <c r="H425" s="39">
        <v>0.0</v>
      </c>
      <c r="I425" s="40">
        <f t="shared" si="2"/>
        <v>127877.37</v>
      </c>
      <c r="J425" s="39">
        <v>0.0</v>
      </c>
      <c r="K425" s="39">
        <v>0.0</v>
      </c>
      <c r="L425" s="39">
        <v>0.0</v>
      </c>
      <c r="M425" s="40">
        <f t="shared" si="3"/>
        <v>0</v>
      </c>
      <c r="N425" s="39">
        <v>600060.33</v>
      </c>
      <c r="O425" s="39">
        <v>1115234.67</v>
      </c>
      <c r="P425" s="39">
        <v>0.0</v>
      </c>
      <c r="Q425" s="40">
        <f t="shared" si="4"/>
        <v>1715295</v>
      </c>
    </row>
    <row r="426" ht="15.75" customHeight="1">
      <c r="A426" s="38">
        <v>422.0</v>
      </c>
      <c r="B426" s="41">
        <v>0.0</v>
      </c>
      <c r="C426" s="41">
        <v>2188401.82</v>
      </c>
      <c r="D426" s="41">
        <v>1.282606663E7</v>
      </c>
      <c r="E426" s="40">
        <f t="shared" si="1"/>
        <v>15014468.45</v>
      </c>
      <c r="F426" s="41">
        <v>426564.09</v>
      </c>
      <c r="G426" s="41">
        <v>0.0</v>
      </c>
      <c r="H426" s="41">
        <v>0.0</v>
      </c>
      <c r="I426" s="40">
        <f t="shared" si="2"/>
        <v>426564.09</v>
      </c>
      <c r="J426" s="41">
        <v>0.0</v>
      </c>
      <c r="K426" s="41">
        <v>72834.97</v>
      </c>
      <c r="L426" s="41">
        <v>0.0</v>
      </c>
      <c r="M426" s="40">
        <f t="shared" si="3"/>
        <v>72834.97</v>
      </c>
      <c r="N426" s="41">
        <v>609054.64</v>
      </c>
      <c r="O426" s="41">
        <v>90149.67</v>
      </c>
      <c r="P426" s="41">
        <v>0.0</v>
      </c>
      <c r="Q426" s="40">
        <f t="shared" si="4"/>
        <v>699204.31</v>
      </c>
    </row>
    <row r="427" ht="15.75" customHeight="1">
      <c r="A427" s="38">
        <v>423.0</v>
      </c>
      <c r="B427" s="39">
        <v>105957.89</v>
      </c>
      <c r="C427" s="39">
        <v>0.0</v>
      </c>
      <c r="D427" s="39">
        <v>0.0</v>
      </c>
      <c r="E427" s="40">
        <f t="shared" si="1"/>
        <v>105957.89</v>
      </c>
      <c r="F427" s="39">
        <v>0.0</v>
      </c>
      <c r="G427" s="39">
        <v>446403.61</v>
      </c>
      <c r="H427" s="39">
        <v>0.0</v>
      </c>
      <c r="I427" s="40">
        <f t="shared" si="2"/>
        <v>446403.61</v>
      </c>
      <c r="J427" s="39">
        <v>0.0</v>
      </c>
      <c r="K427" s="39">
        <v>196188.86</v>
      </c>
      <c r="L427" s="39">
        <v>0.0</v>
      </c>
      <c r="M427" s="40">
        <f t="shared" si="3"/>
        <v>196188.86</v>
      </c>
      <c r="N427" s="39">
        <v>0.0</v>
      </c>
      <c r="O427" s="39">
        <v>385009.97</v>
      </c>
      <c r="P427" s="39">
        <v>0.0</v>
      </c>
      <c r="Q427" s="40">
        <f t="shared" si="4"/>
        <v>385009.97</v>
      </c>
    </row>
    <row r="428" ht="15.75" customHeight="1">
      <c r="A428" s="38">
        <v>424.0</v>
      </c>
      <c r="B428" s="41">
        <v>0.0</v>
      </c>
      <c r="C428" s="41">
        <v>0.0</v>
      </c>
      <c r="D428" s="41">
        <v>0.0</v>
      </c>
      <c r="E428" s="40">
        <f t="shared" si="1"/>
        <v>0</v>
      </c>
      <c r="F428" s="41">
        <v>2826306.39</v>
      </c>
      <c r="G428" s="41">
        <v>198956.17</v>
      </c>
      <c r="H428" s="41">
        <v>0.0</v>
      </c>
      <c r="I428" s="40">
        <f t="shared" si="2"/>
        <v>3025262.56</v>
      </c>
      <c r="J428" s="41">
        <v>0.0</v>
      </c>
      <c r="K428" s="41">
        <v>539883.77</v>
      </c>
      <c r="L428" s="41">
        <v>0.0</v>
      </c>
      <c r="M428" s="40">
        <f t="shared" si="3"/>
        <v>539883.77</v>
      </c>
      <c r="N428" s="41">
        <v>0.0</v>
      </c>
      <c r="O428" s="41">
        <v>0.0</v>
      </c>
      <c r="P428" s="41">
        <v>0.0</v>
      </c>
      <c r="Q428" s="40">
        <f t="shared" si="4"/>
        <v>0</v>
      </c>
    </row>
    <row r="429" ht="15.75" customHeight="1">
      <c r="A429" s="38">
        <v>425.0</v>
      </c>
      <c r="B429" s="39">
        <v>932275.38</v>
      </c>
      <c r="C429" s="39">
        <v>0.0</v>
      </c>
      <c r="D429" s="39">
        <v>0.0</v>
      </c>
      <c r="E429" s="40">
        <f t="shared" si="1"/>
        <v>932275.38</v>
      </c>
      <c r="F429" s="39">
        <v>1174850.95</v>
      </c>
      <c r="G429" s="39">
        <v>295535.49</v>
      </c>
      <c r="H429" s="39">
        <v>0.0</v>
      </c>
      <c r="I429" s="40">
        <f t="shared" si="2"/>
        <v>1470386.44</v>
      </c>
      <c r="J429" s="39">
        <v>0.0</v>
      </c>
      <c r="K429" s="39">
        <v>700650.53</v>
      </c>
      <c r="L429" s="39">
        <v>0.0</v>
      </c>
      <c r="M429" s="40">
        <f t="shared" si="3"/>
        <v>700650.53</v>
      </c>
      <c r="N429" s="39">
        <v>0.0</v>
      </c>
      <c r="O429" s="39">
        <v>0.0</v>
      </c>
      <c r="P429" s="39">
        <v>708397.78</v>
      </c>
      <c r="Q429" s="40">
        <f t="shared" si="4"/>
        <v>708397.78</v>
      </c>
    </row>
    <row r="430" ht="15.75" customHeight="1">
      <c r="A430" s="38">
        <v>426.0</v>
      </c>
      <c r="B430" s="41">
        <v>0.0</v>
      </c>
      <c r="C430" s="41">
        <v>704885.43</v>
      </c>
      <c r="D430" s="41">
        <v>0.0</v>
      </c>
      <c r="E430" s="40">
        <f t="shared" si="1"/>
        <v>704885.43</v>
      </c>
      <c r="F430" s="41">
        <v>945398.97</v>
      </c>
      <c r="G430" s="41">
        <v>520191.03</v>
      </c>
      <c r="H430" s="41">
        <v>0.0</v>
      </c>
      <c r="I430" s="40">
        <f t="shared" si="2"/>
        <v>1465590</v>
      </c>
      <c r="J430" s="41">
        <v>293611.71</v>
      </c>
      <c r="K430" s="41">
        <v>0.0</v>
      </c>
      <c r="L430" s="41">
        <v>0.0</v>
      </c>
      <c r="M430" s="40">
        <f t="shared" si="3"/>
        <v>293611.71</v>
      </c>
      <c r="N430" s="41">
        <v>1179950.48</v>
      </c>
      <c r="O430" s="41">
        <v>643757.02</v>
      </c>
      <c r="P430" s="41">
        <v>1.598319665E7</v>
      </c>
      <c r="Q430" s="40">
        <f t="shared" si="4"/>
        <v>17806904.15</v>
      </c>
    </row>
    <row r="431" ht="15.75" customHeight="1">
      <c r="A431" s="38">
        <v>427.0</v>
      </c>
      <c r="B431" s="39">
        <v>1040408.31</v>
      </c>
      <c r="C431" s="39">
        <v>0.0</v>
      </c>
      <c r="D431" s="39">
        <v>0.0</v>
      </c>
      <c r="E431" s="40">
        <f t="shared" si="1"/>
        <v>1040408.31</v>
      </c>
      <c r="F431" s="39">
        <v>0.0</v>
      </c>
      <c r="G431" s="39">
        <v>179393.05</v>
      </c>
      <c r="H431" s="39">
        <v>0.0</v>
      </c>
      <c r="I431" s="40">
        <f t="shared" si="2"/>
        <v>179393.05</v>
      </c>
      <c r="J431" s="39">
        <v>577989.11</v>
      </c>
      <c r="K431" s="39">
        <v>0.0</v>
      </c>
      <c r="L431" s="39">
        <v>0.0</v>
      </c>
      <c r="M431" s="40">
        <f t="shared" si="3"/>
        <v>577989.11</v>
      </c>
      <c r="N431" s="39">
        <v>0.0</v>
      </c>
      <c r="O431" s="39">
        <v>0.0</v>
      </c>
      <c r="P431" s="39">
        <v>0.0</v>
      </c>
      <c r="Q431" s="40">
        <f t="shared" si="4"/>
        <v>0</v>
      </c>
    </row>
    <row r="432" ht="15.75" customHeight="1">
      <c r="A432" s="38">
        <v>428.0</v>
      </c>
      <c r="B432" s="41">
        <v>0.0</v>
      </c>
      <c r="C432" s="41">
        <v>432558.96</v>
      </c>
      <c r="D432" s="41">
        <v>0.0</v>
      </c>
      <c r="E432" s="40">
        <f t="shared" si="1"/>
        <v>432558.96</v>
      </c>
      <c r="F432" s="41">
        <v>3863130.58</v>
      </c>
      <c r="G432" s="41">
        <v>0.0</v>
      </c>
      <c r="H432" s="41">
        <v>1.062772606E7</v>
      </c>
      <c r="I432" s="40">
        <f t="shared" si="2"/>
        <v>14490856.64</v>
      </c>
      <c r="J432" s="41">
        <v>679262.62</v>
      </c>
      <c r="K432" s="41">
        <v>0.0</v>
      </c>
      <c r="L432" s="41">
        <v>8877470.92</v>
      </c>
      <c r="M432" s="40">
        <f t="shared" si="3"/>
        <v>9556733.54</v>
      </c>
      <c r="N432" s="41">
        <v>0.0</v>
      </c>
      <c r="O432" s="41">
        <v>565657.94</v>
      </c>
      <c r="P432" s="41">
        <v>0.0</v>
      </c>
      <c r="Q432" s="40">
        <f t="shared" si="4"/>
        <v>565657.94</v>
      </c>
    </row>
    <row r="433" ht="15.75" customHeight="1">
      <c r="A433" s="38">
        <v>429.0</v>
      </c>
      <c r="B433" s="39">
        <v>0.0</v>
      </c>
      <c r="C433" s="39">
        <v>0.0</v>
      </c>
      <c r="D433" s="39">
        <v>0.0</v>
      </c>
      <c r="E433" s="40">
        <f t="shared" si="1"/>
        <v>0</v>
      </c>
      <c r="F433" s="39">
        <v>0.0</v>
      </c>
      <c r="G433" s="39">
        <v>0.0</v>
      </c>
      <c r="H433" s="39">
        <v>0.0</v>
      </c>
      <c r="I433" s="40">
        <f t="shared" si="2"/>
        <v>0</v>
      </c>
      <c r="J433" s="39">
        <v>0.0</v>
      </c>
      <c r="K433" s="39">
        <v>142305.17</v>
      </c>
      <c r="L433" s="39">
        <v>0.0</v>
      </c>
      <c r="M433" s="40">
        <f t="shared" si="3"/>
        <v>142305.17</v>
      </c>
      <c r="N433" s="39">
        <v>0.0</v>
      </c>
      <c r="O433" s="39">
        <v>0.0</v>
      </c>
      <c r="P433" s="39">
        <v>0.0</v>
      </c>
      <c r="Q433" s="40">
        <f t="shared" si="4"/>
        <v>0</v>
      </c>
    </row>
    <row r="434" ht="15.75" customHeight="1">
      <c r="A434" s="38">
        <v>430.0</v>
      </c>
      <c r="B434" s="41">
        <v>645706.44</v>
      </c>
      <c r="C434" s="41">
        <v>0.0</v>
      </c>
      <c r="D434" s="41">
        <v>0.0</v>
      </c>
      <c r="E434" s="40">
        <f t="shared" si="1"/>
        <v>645706.44</v>
      </c>
      <c r="F434" s="41">
        <v>2297808.49</v>
      </c>
      <c r="G434" s="41">
        <v>0.0</v>
      </c>
      <c r="H434" s="41">
        <v>0.0</v>
      </c>
      <c r="I434" s="40">
        <f t="shared" si="2"/>
        <v>2297808.49</v>
      </c>
      <c r="J434" s="41">
        <v>159249.31</v>
      </c>
      <c r="K434" s="41">
        <v>269686.5</v>
      </c>
      <c r="L434" s="41">
        <v>0.0</v>
      </c>
      <c r="M434" s="40">
        <f t="shared" si="3"/>
        <v>428935.81</v>
      </c>
      <c r="N434" s="41">
        <v>352480.92</v>
      </c>
      <c r="O434" s="41">
        <v>350859.15</v>
      </c>
      <c r="P434" s="41">
        <v>2909893.76</v>
      </c>
      <c r="Q434" s="40">
        <f t="shared" si="4"/>
        <v>3613233.83</v>
      </c>
    </row>
    <row r="435" ht="15.75" customHeight="1">
      <c r="A435" s="38">
        <v>431.0</v>
      </c>
      <c r="B435" s="39">
        <v>2348741.48</v>
      </c>
      <c r="C435" s="39">
        <v>0.0</v>
      </c>
      <c r="D435" s="39">
        <v>0.0</v>
      </c>
      <c r="E435" s="40">
        <f t="shared" si="1"/>
        <v>2348741.48</v>
      </c>
      <c r="F435" s="39">
        <v>0.0</v>
      </c>
      <c r="G435" s="39">
        <v>0.0</v>
      </c>
      <c r="H435" s="39">
        <v>0.0</v>
      </c>
      <c r="I435" s="40">
        <f t="shared" si="2"/>
        <v>0</v>
      </c>
      <c r="J435" s="39">
        <v>1597628.49</v>
      </c>
      <c r="K435" s="39">
        <v>0.0</v>
      </c>
      <c r="L435" s="39">
        <v>0.0</v>
      </c>
      <c r="M435" s="40">
        <f t="shared" si="3"/>
        <v>1597628.49</v>
      </c>
      <c r="N435" s="39">
        <v>0.0</v>
      </c>
      <c r="O435" s="39">
        <v>0.0</v>
      </c>
      <c r="P435" s="39">
        <v>0.0</v>
      </c>
      <c r="Q435" s="40">
        <f t="shared" si="4"/>
        <v>0</v>
      </c>
    </row>
    <row r="436" ht="15.75" customHeight="1">
      <c r="A436" s="38">
        <v>432.0</v>
      </c>
      <c r="B436" s="41">
        <v>4332153.66</v>
      </c>
      <c r="C436" s="41">
        <v>0.0</v>
      </c>
      <c r="D436" s="41">
        <v>0.0</v>
      </c>
      <c r="E436" s="40">
        <f t="shared" si="1"/>
        <v>4332153.66</v>
      </c>
      <c r="F436" s="41">
        <v>0.0</v>
      </c>
      <c r="G436" s="41">
        <v>0.0</v>
      </c>
      <c r="H436" s="41">
        <v>0.0</v>
      </c>
      <c r="I436" s="40">
        <f t="shared" si="2"/>
        <v>0</v>
      </c>
      <c r="J436" s="41">
        <v>0.0</v>
      </c>
      <c r="K436" s="41">
        <v>669591.87</v>
      </c>
      <c r="L436" s="41">
        <v>0.0</v>
      </c>
      <c r="M436" s="40">
        <f t="shared" si="3"/>
        <v>669591.87</v>
      </c>
      <c r="N436" s="41">
        <v>0.0</v>
      </c>
      <c r="O436" s="41">
        <v>315390.46</v>
      </c>
      <c r="P436" s="41">
        <v>0.0</v>
      </c>
      <c r="Q436" s="40">
        <f t="shared" si="4"/>
        <v>315390.46</v>
      </c>
    </row>
    <row r="437" ht="15.75" customHeight="1">
      <c r="A437" s="38">
        <v>433.0</v>
      </c>
      <c r="B437" s="39">
        <v>2090615.56</v>
      </c>
      <c r="C437" s="39">
        <v>105023.59</v>
      </c>
      <c r="D437" s="39">
        <v>1825213.36</v>
      </c>
      <c r="E437" s="40">
        <f t="shared" si="1"/>
        <v>4020852.51</v>
      </c>
      <c r="F437" s="39">
        <v>0.0</v>
      </c>
      <c r="G437" s="39">
        <v>39062.64</v>
      </c>
      <c r="H437" s="39">
        <v>0.0</v>
      </c>
      <c r="I437" s="40">
        <f t="shared" si="2"/>
        <v>39062.64</v>
      </c>
      <c r="J437" s="39">
        <v>2375368.22</v>
      </c>
      <c r="K437" s="39">
        <v>0.0</v>
      </c>
      <c r="L437" s="39">
        <v>0.0</v>
      </c>
      <c r="M437" s="40">
        <f t="shared" si="3"/>
        <v>2375368.22</v>
      </c>
      <c r="N437" s="39">
        <v>157296.54</v>
      </c>
      <c r="O437" s="39">
        <v>293956.49</v>
      </c>
      <c r="P437" s="39">
        <v>0.0</v>
      </c>
      <c r="Q437" s="40">
        <f t="shared" si="4"/>
        <v>451253.03</v>
      </c>
    </row>
    <row r="438" ht="15.75" customHeight="1">
      <c r="A438" s="38">
        <v>434.0</v>
      </c>
      <c r="B438" s="41">
        <v>338135.33</v>
      </c>
      <c r="C438" s="41">
        <v>1076754.2</v>
      </c>
      <c r="D438" s="41">
        <v>0.0</v>
      </c>
      <c r="E438" s="40">
        <f t="shared" si="1"/>
        <v>1414889.53</v>
      </c>
      <c r="F438" s="41">
        <v>0.0</v>
      </c>
      <c r="G438" s="41">
        <v>218535.25</v>
      </c>
      <c r="H438" s="41">
        <v>0.0</v>
      </c>
      <c r="I438" s="40">
        <f t="shared" si="2"/>
        <v>218535.25</v>
      </c>
      <c r="J438" s="41">
        <v>2484570.49</v>
      </c>
      <c r="K438" s="41">
        <v>0.0</v>
      </c>
      <c r="L438" s="41">
        <v>0.0</v>
      </c>
      <c r="M438" s="40">
        <f t="shared" si="3"/>
        <v>2484570.49</v>
      </c>
      <c r="N438" s="41">
        <v>5011874.54</v>
      </c>
      <c r="O438" s="41">
        <v>0.0</v>
      </c>
      <c r="P438" s="41">
        <v>1671014.69</v>
      </c>
      <c r="Q438" s="40">
        <f t="shared" si="4"/>
        <v>6682889.23</v>
      </c>
    </row>
    <row r="439" ht="15.75" customHeight="1">
      <c r="A439" s="38">
        <v>435.0</v>
      </c>
      <c r="B439" s="39">
        <v>7685859.99</v>
      </c>
      <c r="C439" s="39">
        <v>173247.43</v>
      </c>
      <c r="D439" s="39">
        <v>0.0</v>
      </c>
      <c r="E439" s="40">
        <f t="shared" si="1"/>
        <v>7859107.42</v>
      </c>
      <c r="F439" s="39">
        <v>0.0</v>
      </c>
      <c r="G439" s="39">
        <v>0.0</v>
      </c>
      <c r="H439" s="39">
        <v>0.0</v>
      </c>
      <c r="I439" s="40">
        <f t="shared" si="2"/>
        <v>0</v>
      </c>
      <c r="J439" s="39">
        <v>0.0</v>
      </c>
      <c r="K439" s="39">
        <v>1028099.05</v>
      </c>
      <c r="L439" s="39">
        <v>2832252.84</v>
      </c>
      <c r="M439" s="40">
        <f t="shared" si="3"/>
        <v>3860351.89</v>
      </c>
      <c r="N439" s="39">
        <v>0.0</v>
      </c>
      <c r="O439" s="39">
        <v>0.0</v>
      </c>
      <c r="P439" s="39">
        <v>0.0</v>
      </c>
      <c r="Q439" s="40">
        <f t="shared" si="4"/>
        <v>0</v>
      </c>
    </row>
    <row r="440" ht="15.75" customHeight="1">
      <c r="A440" s="38">
        <v>436.0</v>
      </c>
      <c r="B440" s="41">
        <v>0.0</v>
      </c>
      <c r="C440" s="41">
        <v>91591.2</v>
      </c>
      <c r="D440" s="41">
        <v>0.0</v>
      </c>
      <c r="E440" s="40">
        <f t="shared" si="1"/>
        <v>91591.2</v>
      </c>
      <c r="F440" s="41">
        <v>879576.22</v>
      </c>
      <c r="G440" s="41">
        <v>0.0</v>
      </c>
      <c r="H440" s="41">
        <v>0.0</v>
      </c>
      <c r="I440" s="40">
        <f t="shared" si="2"/>
        <v>879576.22</v>
      </c>
      <c r="J440" s="41">
        <v>0.0</v>
      </c>
      <c r="K440" s="41">
        <v>497922.51</v>
      </c>
      <c r="L440" s="41">
        <v>3591727.71</v>
      </c>
      <c r="M440" s="40">
        <f t="shared" si="3"/>
        <v>4089650.22</v>
      </c>
      <c r="N440" s="41">
        <v>0.0</v>
      </c>
      <c r="O440" s="41">
        <v>245209.36</v>
      </c>
      <c r="P440" s="41">
        <v>2199802.2</v>
      </c>
      <c r="Q440" s="40">
        <f t="shared" si="4"/>
        <v>2445011.56</v>
      </c>
    </row>
    <row r="441" ht="15.75" customHeight="1">
      <c r="A441" s="38">
        <v>437.0</v>
      </c>
      <c r="B441" s="39">
        <v>1948085.49</v>
      </c>
      <c r="C441" s="39">
        <v>0.0</v>
      </c>
      <c r="D441" s="39">
        <v>3.42707753E7</v>
      </c>
      <c r="E441" s="40">
        <f t="shared" si="1"/>
        <v>36218860.79</v>
      </c>
      <c r="F441" s="39">
        <v>0.0</v>
      </c>
      <c r="G441" s="39">
        <v>0.0</v>
      </c>
      <c r="H441" s="39">
        <v>0.0</v>
      </c>
      <c r="I441" s="40">
        <f t="shared" si="2"/>
        <v>0</v>
      </c>
      <c r="J441" s="39">
        <v>800550.66</v>
      </c>
      <c r="K441" s="39">
        <v>287054.25</v>
      </c>
      <c r="L441" s="39">
        <v>0.0</v>
      </c>
      <c r="M441" s="40">
        <f t="shared" si="3"/>
        <v>1087604.91</v>
      </c>
      <c r="N441" s="39">
        <v>0.0</v>
      </c>
      <c r="O441" s="39">
        <v>0.0</v>
      </c>
      <c r="P441" s="39">
        <v>0.0</v>
      </c>
      <c r="Q441" s="40">
        <f t="shared" si="4"/>
        <v>0</v>
      </c>
    </row>
    <row r="442" ht="15.75" customHeight="1">
      <c r="A442" s="38">
        <v>438.0</v>
      </c>
      <c r="B442" s="41">
        <v>0.0</v>
      </c>
      <c r="C442" s="41">
        <v>0.0</v>
      </c>
      <c r="D442" s="41">
        <v>0.0</v>
      </c>
      <c r="E442" s="40">
        <f t="shared" si="1"/>
        <v>0</v>
      </c>
      <c r="F442" s="41">
        <v>5669134.5</v>
      </c>
      <c r="G442" s="41">
        <v>74061.74</v>
      </c>
      <c r="H442" s="41">
        <v>0.0</v>
      </c>
      <c r="I442" s="40">
        <f t="shared" si="2"/>
        <v>5743196.24</v>
      </c>
      <c r="J442" s="41">
        <v>1928052.36</v>
      </c>
      <c r="K442" s="41">
        <v>449985.35</v>
      </c>
      <c r="L442" s="41">
        <v>0.0</v>
      </c>
      <c r="M442" s="40">
        <f t="shared" si="3"/>
        <v>2378037.71</v>
      </c>
      <c r="N442" s="41">
        <v>0.0</v>
      </c>
      <c r="O442" s="41">
        <v>0.0</v>
      </c>
      <c r="P442" s="41">
        <v>0.0</v>
      </c>
      <c r="Q442" s="40">
        <f t="shared" si="4"/>
        <v>0</v>
      </c>
    </row>
    <row r="443" ht="15.75" customHeight="1">
      <c r="A443" s="38">
        <v>439.0</v>
      </c>
      <c r="B443" s="39">
        <v>0.0</v>
      </c>
      <c r="C443" s="39">
        <v>161262.71</v>
      </c>
      <c r="D443" s="39">
        <v>0.0</v>
      </c>
      <c r="E443" s="40">
        <f t="shared" si="1"/>
        <v>161262.71</v>
      </c>
      <c r="F443" s="39">
        <v>0.0</v>
      </c>
      <c r="G443" s="39">
        <v>0.0</v>
      </c>
      <c r="H443" s="39">
        <v>0.0</v>
      </c>
      <c r="I443" s="40">
        <f t="shared" si="2"/>
        <v>0</v>
      </c>
      <c r="J443" s="39">
        <v>0.0</v>
      </c>
      <c r="K443" s="39">
        <v>0.0</v>
      </c>
      <c r="L443" s="39">
        <v>0.0</v>
      </c>
      <c r="M443" s="40">
        <f t="shared" si="3"/>
        <v>0</v>
      </c>
      <c r="N443" s="39">
        <v>0.0</v>
      </c>
      <c r="O443" s="39">
        <v>0.0</v>
      </c>
      <c r="P443" s="39">
        <v>2.511636414E7</v>
      </c>
      <c r="Q443" s="40">
        <f t="shared" si="4"/>
        <v>25116364.14</v>
      </c>
    </row>
    <row r="444" ht="15.75" customHeight="1">
      <c r="A444" s="38">
        <v>440.0</v>
      </c>
      <c r="B444" s="41">
        <v>0.0</v>
      </c>
      <c r="C444" s="41">
        <v>1546916.56</v>
      </c>
      <c r="D444" s="41">
        <v>0.0</v>
      </c>
      <c r="E444" s="40">
        <f t="shared" si="1"/>
        <v>1546916.56</v>
      </c>
      <c r="F444" s="41">
        <v>0.0</v>
      </c>
      <c r="G444" s="41">
        <v>0.0</v>
      </c>
      <c r="H444" s="41">
        <v>0.0</v>
      </c>
      <c r="I444" s="40">
        <f t="shared" si="2"/>
        <v>0</v>
      </c>
      <c r="J444" s="41">
        <v>243265.77</v>
      </c>
      <c r="K444" s="41">
        <v>269752.13</v>
      </c>
      <c r="L444" s="41">
        <v>1727335.19</v>
      </c>
      <c r="M444" s="40">
        <f t="shared" si="3"/>
        <v>2240353.09</v>
      </c>
      <c r="N444" s="41">
        <v>0.0</v>
      </c>
      <c r="O444" s="41">
        <v>0.0</v>
      </c>
      <c r="P444" s="41">
        <v>0.0</v>
      </c>
      <c r="Q444" s="40">
        <f t="shared" si="4"/>
        <v>0</v>
      </c>
    </row>
    <row r="445" ht="15.75" customHeight="1">
      <c r="A445" s="38">
        <v>441.0</v>
      </c>
      <c r="B445" s="39">
        <v>293371.72</v>
      </c>
      <c r="C445" s="39">
        <v>0.0</v>
      </c>
      <c r="D445" s="39">
        <v>0.0</v>
      </c>
      <c r="E445" s="40">
        <f t="shared" si="1"/>
        <v>293371.72</v>
      </c>
      <c r="F445" s="39">
        <v>243024.38</v>
      </c>
      <c r="G445" s="39">
        <v>118490.59</v>
      </c>
      <c r="H445" s="39">
        <v>0.0</v>
      </c>
      <c r="I445" s="40">
        <f t="shared" si="2"/>
        <v>361514.97</v>
      </c>
      <c r="J445" s="39">
        <v>84263.35</v>
      </c>
      <c r="K445" s="39">
        <v>72276.45</v>
      </c>
      <c r="L445" s="39">
        <v>0.0</v>
      </c>
      <c r="M445" s="40">
        <f t="shared" si="3"/>
        <v>156539.8</v>
      </c>
      <c r="N445" s="39">
        <v>0.0</v>
      </c>
      <c r="O445" s="39">
        <v>163811.86</v>
      </c>
      <c r="P445" s="39">
        <v>6382032.32</v>
      </c>
      <c r="Q445" s="40">
        <f t="shared" si="4"/>
        <v>6545844.18</v>
      </c>
    </row>
    <row r="446" ht="15.75" customHeight="1">
      <c r="A446" s="38">
        <v>442.0</v>
      </c>
      <c r="B446" s="41">
        <v>9380279.52</v>
      </c>
      <c r="C446" s="41">
        <v>367537.69</v>
      </c>
      <c r="D446" s="41">
        <v>3349425.72</v>
      </c>
      <c r="E446" s="40">
        <f t="shared" si="1"/>
        <v>13097242.93</v>
      </c>
      <c r="F446" s="41">
        <v>0.0</v>
      </c>
      <c r="G446" s="41">
        <v>584020.94</v>
      </c>
      <c r="H446" s="41">
        <v>0.0</v>
      </c>
      <c r="I446" s="40">
        <f t="shared" si="2"/>
        <v>584020.94</v>
      </c>
      <c r="J446" s="41">
        <v>1135182.94</v>
      </c>
      <c r="K446" s="41">
        <v>0.0</v>
      </c>
      <c r="L446" s="41">
        <v>0.0</v>
      </c>
      <c r="M446" s="40">
        <f t="shared" si="3"/>
        <v>1135182.94</v>
      </c>
      <c r="N446" s="41">
        <v>2032896.81</v>
      </c>
      <c r="O446" s="41">
        <v>0.0</v>
      </c>
      <c r="P446" s="41">
        <v>2000352.12</v>
      </c>
      <c r="Q446" s="40">
        <f t="shared" si="4"/>
        <v>4033248.93</v>
      </c>
    </row>
    <row r="447" ht="15.75" customHeight="1">
      <c r="A447" s="38">
        <v>443.0</v>
      </c>
      <c r="B447" s="39">
        <v>720253.61</v>
      </c>
      <c r="C447" s="39">
        <v>1756222.94</v>
      </c>
      <c r="D447" s="39">
        <v>0.0</v>
      </c>
      <c r="E447" s="40">
        <f t="shared" si="1"/>
        <v>2476476.55</v>
      </c>
      <c r="F447" s="39">
        <v>828848.12</v>
      </c>
      <c r="G447" s="39">
        <v>0.0</v>
      </c>
      <c r="H447" s="39">
        <v>0.0</v>
      </c>
      <c r="I447" s="40">
        <f t="shared" si="2"/>
        <v>828848.12</v>
      </c>
      <c r="J447" s="39">
        <v>1357864.99</v>
      </c>
      <c r="K447" s="39">
        <v>294779.45</v>
      </c>
      <c r="L447" s="39">
        <v>0.0</v>
      </c>
      <c r="M447" s="40">
        <f t="shared" si="3"/>
        <v>1652644.44</v>
      </c>
      <c r="N447" s="39">
        <v>342414.93</v>
      </c>
      <c r="O447" s="39">
        <v>252697.6</v>
      </c>
      <c r="P447" s="39">
        <v>4976217.35</v>
      </c>
      <c r="Q447" s="40">
        <f t="shared" si="4"/>
        <v>5571329.88</v>
      </c>
    </row>
    <row r="448" ht="15.75" customHeight="1">
      <c r="A448" s="38">
        <v>444.0</v>
      </c>
      <c r="B448" s="41">
        <v>0.0</v>
      </c>
      <c r="C448" s="41">
        <v>0.0</v>
      </c>
      <c r="D448" s="41">
        <v>0.0</v>
      </c>
      <c r="E448" s="40">
        <f t="shared" si="1"/>
        <v>0</v>
      </c>
      <c r="F448" s="41">
        <v>1417829.81</v>
      </c>
      <c r="G448" s="41">
        <v>597812.83</v>
      </c>
      <c r="H448" s="41">
        <v>0.0</v>
      </c>
      <c r="I448" s="40">
        <f t="shared" si="2"/>
        <v>2015642.64</v>
      </c>
      <c r="J448" s="41">
        <v>0.0</v>
      </c>
      <c r="K448" s="41">
        <v>241756.9</v>
      </c>
      <c r="L448" s="41">
        <v>0.0</v>
      </c>
      <c r="M448" s="40">
        <f t="shared" si="3"/>
        <v>241756.9</v>
      </c>
      <c r="N448" s="41">
        <v>1148418.93</v>
      </c>
      <c r="O448" s="41">
        <v>0.0</v>
      </c>
      <c r="P448" s="41">
        <v>0.0</v>
      </c>
      <c r="Q448" s="40">
        <f t="shared" si="4"/>
        <v>1148418.93</v>
      </c>
    </row>
    <row r="449" ht="15.75" customHeight="1">
      <c r="A449" s="38">
        <v>445.0</v>
      </c>
      <c r="B449" s="39">
        <v>0.0</v>
      </c>
      <c r="C449" s="39">
        <v>771588.36</v>
      </c>
      <c r="D449" s="39">
        <v>2844188.78</v>
      </c>
      <c r="E449" s="40">
        <f t="shared" si="1"/>
        <v>3615777.14</v>
      </c>
      <c r="F449" s="39">
        <v>706190.85</v>
      </c>
      <c r="G449" s="39">
        <v>1345339.38</v>
      </c>
      <c r="H449" s="39">
        <v>0.0</v>
      </c>
      <c r="I449" s="40">
        <f t="shared" si="2"/>
        <v>2051530.23</v>
      </c>
      <c r="J449" s="39">
        <v>0.0</v>
      </c>
      <c r="K449" s="39">
        <v>0.0</v>
      </c>
      <c r="L449" s="39">
        <v>0.0</v>
      </c>
      <c r="M449" s="40">
        <f t="shared" si="3"/>
        <v>0</v>
      </c>
      <c r="N449" s="39">
        <v>0.0</v>
      </c>
      <c r="O449" s="39">
        <v>672585.23</v>
      </c>
      <c r="P449" s="39">
        <v>0.0</v>
      </c>
      <c r="Q449" s="40">
        <f t="shared" si="4"/>
        <v>672585.23</v>
      </c>
    </row>
    <row r="450" ht="15.75" customHeight="1">
      <c r="A450" s="38">
        <v>446.0</v>
      </c>
      <c r="B450" s="41">
        <v>0.0</v>
      </c>
      <c r="C450" s="41">
        <v>0.0</v>
      </c>
      <c r="D450" s="41">
        <v>0.0</v>
      </c>
      <c r="E450" s="40">
        <f t="shared" si="1"/>
        <v>0</v>
      </c>
      <c r="F450" s="41">
        <v>1.097364416E7</v>
      </c>
      <c r="G450" s="41">
        <v>0.0</v>
      </c>
      <c r="H450" s="41">
        <v>0.0</v>
      </c>
      <c r="I450" s="40">
        <f t="shared" si="2"/>
        <v>10973644.16</v>
      </c>
      <c r="J450" s="41">
        <v>1206752.22</v>
      </c>
      <c r="K450" s="41">
        <v>0.0</v>
      </c>
      <c r="L450" s="41">
        <v>917648.75</v>
      </c>
      <c r="M450" s="40">
        <f t="shared" si="3"/>
        <v>2124400.97</v>
      </c>
      <c r="N450" s="41">
        <v>0.0</v>
      </c>
      <c r="O450" s="41">
        <v>0.0</v>
      </c>
      <c r="P450" s="41">
        <v>0.0</v>
      </c>
      <c r="Q450" s="40">
        <f t="shared" si="4"/>
        <v>0</v>
      </c>
    </row>
    <row r="451" ht="15.75" customHeight="1">
      <c r="A451" s="38">
        <v>447.0</v>
      </c>
      <c r="B451" s="39">
        <v>2328304.71</v>
      </c>
      <c r="C451" s="39">
        <v>172613.04</v>
      </c>
      <c r="D451" s="39">
        <v>0.0</v>
      </c>
      <c r="E451" s="40">
        <f t="shared" si="1"/>
        <v>2500917.75</v>
      </c>
      <c r="F451" s="39">
        <v>589840.6</v>
      </c>
      <c r="G451" s="39">
        <v>1634849.31</v>
      </c>
      <c r="H451" s="39">
        <v>0.0</v>
      </c>
      <c r="I451" s="40">
        <f t="shared" si="2"/>
        <v>2224689.91</v>
      </c>
      <c r="J451" s="39">
        <v>252983.19</v>
      </c>
      <c r="K451" s="39">
        <v>0.0</v>
      </c>
      <c r="L451" s="39">
        <v>0.0</v>
      </c>
      <c r="M451" s="40">
        <f t="shared" si="3"/>
        <v>252983.19</v>
      </c>
      <c r="N451" s="39">
        <v>2661940.23</v>
      </c>
      <c r="O451" s="39">
        <v>0.0</v>
      </c>
      <c r="P451" s="39">
        <v>0.0</v>
      </c>
      <c r="Q451" s="40">
        <f t="shared" si="4"/>
        <v>2661940.23</v>
      </c>
    </row>
    <row r="452" ht="15.75" customHeight="1">
      <c r="A452" s="38">
        <v>448.0</v>
      </c>
      <c r="B452" s="41">
        <v>315534.24</v>
      </c>
      <c r="C452" s="41">
        <v>1528945.68</v>
      </c>
      <c r="D452" s="41">
        <v>0.0</v>
      </c>
      <c r="E452" s="40">
        <f t="shared" si="1"/>
        <v>1844479.92</v>
      </c>
      <c r="F452" s="41">
        <v>0.0</v>
      </c>
      <c r="G452" s="41">
        <v>389366.36</v>
      </c>
      <c r="H452" s="41">
        <v>0.0</v>
      </c>
      <c r="I452" s="40">
        <f t="shared" si="2"/>
        <v>389366.36</v>
      </c>
      <c r="J452" s="41">
        <v>0.0</v>
      </c>
      <c r="K452" s="41">
        <v>0.0</v>
      </c>
      <c r="L452" s="41">
        <v>1259667.09</v>
      </c>
      <c r="M452" s="40">
        <f t="shared" si="3"/>
        <v>1259667.09</v>
      </c>
      <c r="N452" s="41">
        <v>2062015.53</v>
      </c>
      <c r="O452" s="41">
        <v>0.0</v>
      </c>
      <c r="P452" s="41">
        <v>0.0</v>
      </c>
      <c r="Q452" s="40">
        <f t="shared" si="4"/>
        <v>2062015.53</v>
      </c>
    </row>
    <row r="453" ht="15.75" customHeight="1">
      <c r="A453" s="38">
        <v>449.0</v>
      </c>
      <c r="B453" s="39">
        <v>0.0</v>
      </c>
      <c r="C453" s="39">
        <v>0.0</v>
      </c>
      <c r="D453" s="39">
        <v>2590790.87</v>
      </c>
      <c r="E453" s="40">
        <f t="shared" si="1"/>
        <v>2590790.87</v>
      </c>
      <c r="F453" s="39">
        <v>1180815.74</v>
      </c>
      <c r="G453" s="39">
        <v>572095.59</v>
      </c>
      <c r="H453" s="39">
        <v>0.0</v>
      </c>
      <c r="I453" s="40">
        <f t="shared" si="2"/>
        <v>1752911.33</v>
      </c>
      <c r="J453" s="39">
        <v>0.0</v>
      </c>
      <c r="K453" s="39">
        <v>0.0</v>
      </c>
      <c r="L453" s="39">
        <v>0.0</v>
      </c>
      <c r="M453" s="40">
        <f t="shared" si="3"/>
        <v>0</v>
      </c>
      <c r="N453" s="39">
        <v>1486194.87</v>
      </c>
      <c r="O453" s="39">
        <v>0.0</v>
      </c>
      <c r="P453" s="39">
        <v>0.0</v>
      </c>
      <c r="Q453" s="40">
        <f t="shared" si="4"/>
        <v>1486194.87</v>
      </c>
    </row>
    <row r="454" ht="15.75" customHeight="1">
      <c r="A454" s="38">
        <v>450.0</v>
      </c>
      <c r="B454" s="41">
        <v>7197526.26</v>
      </c>
      <c r="C454" s="41">
        <v>488165.55</v>
      </c>
      <c r="D454" s="41">
        <v>0.0</v>
      </c>
      <c r="E454" s="40">
        <f t="shared" si="1"/>
        <v>7685691.81</v>
      </c>
      <c r="F454" s="41">
        <v>0.0</v>
      </c>
      <c r="G454" s="41">
        <v>362907.12</v>
      </c>
      <c r="H454" s="41">
        <v>0.0</v>
      </c>
      <c r="I454" s="40">
        <f t="shared" si="2"/>
        <v>362907.12</v>
      </c>
      <c r="J454" s="41">
        <v>0.0</v>
      </c>
      <c r="K454" s="41">
        <v>490761.43</v>
      </c>
      <c r="L454" s="41">
        <v>0.0</v>
      </c>
      <c r="M454" s="40">
        <f t="shared" si="3"/>
        <v>490761.43</v>
      </c>
      <c r="N454" s="41">
        <v>0.0</v>
      </c>
      <c r="O454" s="41">
        <v>940831.57</v>
      </c>
      <c r="P454" s="41">
        <v>0.0</v>
      </c>
      <c r="Q454" s="40">
        <f t="shared" si="4"/>
        <v>940831.57</v>
      </c>
    </row>
    <row r="455" ht="15.75" customHeight="1">
      <c r="A455" s="38">
        <v>451.0</v>
      </c>
      <c r="B455" s="39">
        <v>513757.82</v>
      </c>
      <c r="C455" s="39">
        <v>0.0</v>
      </c>
      <c r="D455" s="39">
        <v>0.0</v>
      </c>
      <c r="E455" s="40">
        <f t="shared" si="1"/>
        <v>513757.82</v>
      </c>
      <c r="F455" s="39">
        <v>0.0</v>
      </c>
      <c r="G455" s="39">
        <v>0.0</v>
      </c>
      <c r="H455" s="39">
        <v>3214562.05</v>
      </c>
      <c r="I455" s="40">
        <f t="shared" si="2"/>
        <v>3214562.05</v>
      </c>
      <c r="J455" s="39">
        <v>87783.79</v>
      </c>
      <c r="K455" s="39">
        <v>0.0</v>
      </c>
      <c r="L455" s="39">
        <v>0.0</v>
      </c>
      <c r="M455" s="40">
        <f t="shared" si="3"/>
        <v>87783.79</v>
      </c>
      <c r="N455" s="39">
        <v>319064.12</v>
      </c>
      <c r="O455" s="39">
        <v>0.0</v>
      </c>
      <c r="P455" s="39">
        <v>1293257.06</v>
      </c>
      <c r="Q455" s="40">
        <f t="shared" si="4"/>
        <v>1612321.18</v>
      </c>
    </row>
    <row r="456" ht="15.75" customHeight="1">
      <c r="A456" s="38">
        <v>452.0</v>
      </c>
      <c r="B456" s="41">
        <v>2295125.1</v>
      </c>
      <c r="C456" s="41">
        <v>0.0</v>
      </c>
      <c r="D456" s="41">
        <v>0.0</v>
      </c>
      <c r="E456" s="40">
        <f t="shared" si="1"/>
        <v>2295125.1</v>
      </c>
      <c r="F456" s="41">
        <v>0.0</v>
      </c>
      <c r="G456" s="41">
        <v>245571.16</v>
      </c>
      <c r="H456" s="41">
        <v>0.0</v>
      </c>
      <c r="I456" s="40">
        <f t="shared" si="2"/>
        <v>245571.16</v>
      </c>
      <c r="J456" s="41">
        <v>0.0</v>
      </c>
      <c r="K456" s="41">
        <v>211900.06</v>
      </c>
      <c r="L456" s="41">
        <v>0.0</v>
      </c>
      <c r="M456" s="40">
        <f t="shared" si="3"/>
        <v>211900.06</v>
      </c>
      <c r="N456" s="41">
        <v>2222117.24</v>
      </c>
      <c r="O456" s="41">
        <v>0.0</v>
      </c>
      <c r="P456" s="41">
        <v>0.0</v>
      </c>
      <c r="Q456" s="40">
        <f t="shared" si="4"/>
        <v>2222117.24</v>
      </c>
    </row>
    <row r="457" ht="15.75" customHeight="1">
      <c r="A457" s="38">
        <v>453.0</v>
      </c>
      <c r="B457" s="39">
        <v>2870449.27</v>
      </c>
      <c r="C457" s="39">
        <v>153402.98</v>
      </c>
      <c r="D457" s="39">
        <v>0.0</v>
      </c>
      <c r="E457" s="40">
        <f t="shared" si="1"/>
        <v>3023852.25</v>
      </c>
      <c r="F457" s="39">
        <v>0.0</v>
      </c>
      <c r="G457" s="39">
        <v>3840701.61</v>
      </c>
      <c r="H457" s="39">
        <v>0.0</v>
      </c>
      <c r="I457" s="40">
        <f t="shared" si="2"/>
        <v>3840701.61</v>
      </c>
      <c r="J457" s="39">
        <v>2303144.86</v>
      </c>
      <c r="K457" s="39">
        <v>39357.24</v>
      </c>
      <c r="L457" s="39">
        <v>3576809.53</v>
      </c>
      <c r="M457" s="40">
        <f t="shared" si="3"/>
        <v>5919311.63</v>
      </c>
      <c r="N457" s="39">
        <v>3198289.75</v>
      </c>
      <c r="O457" s="39">
        <v>0.0</v>
      </c>
      <c r="P457" s="39">
        <v>0.0</v>
      </c>
      <c r="Q457" s="40">
        <f t="shared" si="4"/>
        <v>3198289.75</v>
      </c>
    </row>
    <row r="458" ht="15.75" customHeight="1">
      <c r="A458" s="38">
        <v>454.0</v>
      </c>
      <c r="B458" s="41">
        <v>8460139.45</v>
      </c>
      <c r="C458" s="41">
        <v>44598.12</v>
      </c>
      <c r="D458" s="41">
        <v>0.0</v>
      </c>
      <c r="E458" s="40">
        <f t="shared" si="1"/>
        <v>8504737.57</v>
      </c>
      <c r="F458" s="41">
        <v>1065653.04</v>
      </c>
      <c r="G458" s="41">
        <v>1144600.37</v>
      </c>
      <c r="H458" s="41">
        <v>4639441.65</v>
      </c>
      <c r="I458" s="40">
        <f t="shared" si="2"/>
        <v>6849695.06</v>
      </c>
      <c r="J458" s="41">
        <v>537053.67</v>
      </c>
      <c r="K458" s="41">
        <v>642039.76</v>
      </c>
      <c r="L458" s="41">
        <v>0.0</v>
      </c>
      <c r="M458" s="40">
        <f t="shared" si="3"/>
        <v>1179093.43</v>
      </c>
      <c r="N458" s="41">
        <v>0.0</v>
      </c>
      <c r="O458" s="41">
        <v>0.0</v>
      </c>
      <c r="P458" s="41">
        <v>0.0</v>
      </c>
      <c r="Q458" s="40">
        <f t="shared" si="4"/>
        <v>0</v>
      </c>
    </row>
    <row r="459" ht="15.75" customHeight="1">
      <c r="A459" s="38">
        <v>455.0</v>
      </c>
      <c r="B459" s="39">
        <v>2674659.31</v>
      </c>
      <c r="C459" s="39">
        <v>455131.44</v>
      </c>
      <c r="D459" s="39">
        <v>0.0</v>
      </c>
      <c r="E459" s="40">
        <f t="shared" si="1"/>
        <v>3129790.75</v>
      </c>
      <c r="F459" s="39">
        <v>0.0</v>
      </c>
      <c r="G459" s="39">
        <v>61978.89</v>
      </c>
      <c r="H459" s="39">
        <v>0.0</v>
      </c>
      <c r="I459" s="40">
        <f t="shared" si="2"/>
        <v>61978.89</v>
      </c>
      <c r="J459" s="39">
        <v>0.0</v>
      </c>
      <c r="K459" s="39">
        <v>218345.62</v>
      </c>
      <c r="L459" s="39">
        <v>0.0</v>
      </c>
      <c r="M459" s="40">
        <f t="shared" si="3"/>
        <v>218345.62</v>
      </c>
      <c r="N459" s="39">
        <v>7228122.01</v>
      </c>
      <c r="O459" s="39">
        <v>253219.24</v>
      </c>
      <c r="P459" s="39">
        <v>0.0</v>
      </c>
      <c r="Q459" s="40">
        <f t="shared" si="4"/>
        <v>7481341.25</v>
      </c>
    </row>
    <row r="460" ht="15.75" customHeight="1">
      <c r="A460" s="38">
        <v>456.0</v>
      </c>
      <c r="B460" s="41">
        <v>8265871.49</v>
      </c>
      <c r="C460" s="41">
        <v>725182.21</v>
      </c>
      <c r="D460" s="41">
        <v>0.0</v>
      </c>
      <c r="E460" s="40">
        <f t="shared" si="1"/>
        <v>8991053.7</v>
      </c>
      <c r="F460" s="41">
        <v>0.0</v>
      </c>
      <c r="G460" s="41">
        <v>0.0</v>
      </c>
      <c r="H460" s="41">
        <v>0.0</v>
      </c>
      <c r="I460" s="40">
        <f t="shared" si="2"/>
        <v>0</v>
      </c>
      <c r="J460" s="41">
        <v>873225.78</v>
      </c>
      <c r="K460" s="41">
        <v>454049.15</v>
      </c>
      <c r="L460" s="41">
        <v>0.0</v>
      </c>
      <c r="M460" s="40">
        <f t="shared" si="3"/>
        <v>1327274.93</v>
      </c>
      <c r="N460" s="41">
        <v>1.278646735E7</v>
      </c>
      <c r="O460" s="41">
        <v>691709.79</v>
      </c>
      <c r="P460" s="41">
        <v>0.0</v>
      </c>
      <c r="Q460" s="40">
        <f t="shared" si="4"/>
        <v>13478177.14</v>
      </c>
    </row>
    <row r="461" ht="15.75" customHeight="1">
      <c r="A461" s="38">
        <v>457.0</v>
      </c>
      <c r="B461" s="39">
        <v>874477.08</v>
      </c>
      <c r="C461" s="39">
        <v>343718.67</v>
      </c>
      <c r="D461" s="39">
        <v>0.0</v>
      </c>
      <c r="E461" s="40">
        <f t="shared" si="1"/>
        <v>1218195.75</v>
      </c>
      <c r="F461" s="39">
        <v>1080208.74</v>
      </c>
      <c r="G461" s="39">
        <v>204453.0</v>
      </c>
      <c r="H461" s="39">
        <v>0.0</v>
      </c>
      <c r="I461" s="40">
        <f t="shared" si="2"/>
        <v>1284661.74</v>
      </c>
      <c r="J461" s="39">
        <v>1281372.92</v>
      </c>
      <c r="K461" s="39">
        <v>0.0</v>
      </c>
      <c r="L461" s="39">
        <v>0.0</v>
      </c>
      <c r="M461" s="40">
        <f t="shared" si="3"/>
        <v>1281372.92</v>
      </c>
      <c r="N461" s="39">
        <v>144489.96</v>
      </c>
      <c r="O461" s="39">
        <v>0.0</v>
      </c>
      <c r="P461" s="39">
        <v>0.0</v>
      </c>
      <c r="Q461" s="40">
        <f t="shared" si="4"/>
        <v>144489.96</v>
      </c>
    </row>
    <row r="462" ht="15.75" customHeight="1">
      <c r="A462" s="38">
        <v>458.0</v>
      </c>
      <c r="B462" s="41">
        <v>1884615.78</v>
      </c>
      <c r="C462" s="41">
        <v>165017.05</v>
      </c>
      <c r="D462" s="41">
        <v>1769516.75</v>
      </c>
      <c r="E462" s="40">
        <f t="shared" si="1"/>
        <v>3819149.58</v>
      </c>
      <c r="F462" s="41">
        <v>0.0</v>
      </c>
      <c r="G462" s="41">
        <v>0.0</v>
      </c>
      <c r="H462" s="41">
        <v>0.0</v>
      </c>
      <c r="I462" s="40">
        <f t="shared" si="2"/>
        <v>0</v>
      </c>
      <c r="J462" s="41">
        <v>963029.47</v>
      </c>
      <c r="K462" s="41">
        <v>220631.99</v>
      </c>
      <c r="L462" s="41">
        <v>0.0</v>
      </c>
      <c r="M462" s="40">
        <f t="shared" si="3"/>
        <v>1183661.46</v>
      </c>
      <c r="N462" s="41">
        <v>0.0</v>
      </c>
      <c r="O462" s="41">
        <v>407952.6</v>
      </c>
      <c r="P462" s="41">
        <v>0.0</v>
      </c>
      <c r="Q462" s="40">
        <f t="shared" si="4"/>
        <v>407952.6</v>
      </c>
    </row>
    <row r="463" ht="15.75" customHeight="1">
      <c r="A463" s="38">
        <v>459.0</v>
      </c>
      <c r="B463" s="39">
        <v>282691.33</v>
      </c>
      <c r="C463" s="39">
        <v>1287474.13</v>
      </c>
      <c r="D463" s="39">
        <v>0.0</v>
      </c>
      <c r="E463" s="40">
        <f t="shared" si="1"/>
        <v>1570165.46</v>
      </c>
      <c r="F463" s="39">
        <v>0.0</v>
      </c>
      <c r="G463" s="39">
        <v>414012.47</v>
      </c>
      <c r="H463" s="39">
        <v>0.0</v>
      </c>
      <c r="I463" s="40">
        <f t="shared" si="2"/>
        <v>414012.47</v>
      </c>
      <c r="J463" s="39">
        <v>867560.57</v>
      </c>
      <c r="K463" s="39">
        <v>673547.2</v>
      </c>
      <c r="L463" s="39">
        <v>3066293.38</v>
      </c>
      <c r="M463" s="40">
        <f t="shared" si="3"/>
        <v>4607401.15</v>
      </c>
      <c r="N463" s="39">
        <v>3257008.8</v>
      </c>
      <c r="O463" s="39">
        <v>0.0</v>
      </c>
      <c r="P463" s="39">
        <v>0.0</v>
      </c>
      <c r="Q463" s="40">
        <f t="shared" si="4"/>
        <v>3257008.8</v>
      </c>
    </row>
    <row r="464" ht="15.75" customHeight="1">
      <c r="A464" s="38">
        <v>460.0</v>
      </c>
      <c r="B464" s="41">
        <v>1894079.53</v>
      </c>
      <c r="C464" s="41">
        <v>90106.2</v>
      </c>
      <c r="D464" s="41">
        <v>0.0</v>
      </c>
      <c r="E464" s="40">
        <f t="shared" si="1"/>
        <v>1984185.73</v>
      </c>
      <c r="F464" s="41">
        <v>4167748.36</v>
      </c>
      <c r="G464" s="41">
        <v>0.0</v>
      </c>
      <c r="H464" s="41">
        <v>3444407.24</v>
      </c>
      <c r="I464" s="40">
        <f t="shared" si="2"/>
        <v>7612155.6</v>
      </c>
      <c r="J464" s="41">
        <v>879638.1</v>
      </c>
      <c r="K464" s="41">
        <v>581325.44</v>
      </c>
      <c r="L464" s="41">
        <v>0.0</v>
      </c>
      <c r="M464" s="40">
        <f t="shared" si="3"/>
        <v>1460963.54</v>
      </c>
      <c r="N464" s="41">
        <v>605414.98</v>
      </c>
      <c r="O464" s="41">
        <v>0.0</v>
      </c>
      <c r="P464" s="41">
        <v>4043471.92</v>
      </c>
      <c r="Q464" s="40">
        <f t="shared" si="4"/>
        <v>4648886.9</v>
      </c>
    </row>
    <row r="465" ht="15.75" customHeight="1">
      <c r="A465" s="38">
        <v>461.0</v>
      </c>
      <c r="B465" s="39">
        <v>1343518.63</v>
      </c>
      <c r="C465" s="39">
        <v>0.0</v>
      </c>
      <c r="D465" s="39">
        <v>0.0</v>
      </c>
      <c r="E465" s="40">
        <f t="shared" si="1"/>
        <v>1343518.63</v>
      </c>
      <c r="F465" s="39">
        <v>0.0</v>
      </c>
      <c r="G465" s="39">
        <v>0.0</v>
      </c>
      <c r="H465" s="39">
        <v>0.0</v>
      </c>
      <c r="I465" s="40">
        <f t="shared" si="2"/>
        <v>0</v>
      </c>
      <c r="J465" s="39">
        <v>0.0</v>
      </c>
      <c r="K465" s="39">
        <v>0.0</v>
      </c>
      <c r="L465" s="39">
        <v>0.0</v>
      </c>
      <c r="M465" s="40">
        <f t="shared" si="3"/>
        <v>0</v>
      </c>
      <c r="N465" s="39">
        <v>0.0</v>
      </c>
      <c r="O465" s="39">
        <v>345335.0</v>
      </c>
      <c r="P465" s="39">
        <v>0.0</v>
      </c>
      <c r="Q465" s="40">
        <f t="shared" si="4"/>
        <v>345335</v>
      </c>
    </row>
    <row r="466" ht="15.75" customHeight="1">
      <c r="A466" s="38">
        <v>462.0</v>
      </c>
      <c r="B466" s="41">
        <v>0.0</v>
      </c>
      <c r="C466" s="41">
        <v>258840.48</v>
      </c>
      <c r="D466" s="41">
        <v>0.0</v>
      </c>
      <c r="E466" s="40">
        <f t="shared" si="1"/>
        <v>258840.48</v>
      </c>
      <c r="F466" s="41">
        <v>7672116.27</v>
      </c>
      <c r="G466" s="41">
        <v>138740.15</v>
      </c>
      <c r="H466" s="41">
        <v>0.0</v>
      </c>
      <c r="I466" s="40">
        <f t="shared" si="2"/>
        <v>7810856.42</v>
      </c>
      <c r="J466" s="41">
        <v>0.0</v>
      </c>
      <c r="K466" s="41">
        <v>0.0</v>
      </c>
      <c r="L466" s="41">
        <v>0.0</v>
      </c>
      <c r="M466" s="40">
        <f t="shared" si="3"/>
        <v>0</v>
      </c>
      <c r="N466" s="41">
        <v>0.0</v>
      </c>
      <c r="O466" s="41">
        <v>439969.4</v>
      </c>
      <c r="P466" s="41">
        <v>0.0</v>
      </c>
      <c r="Q466" s="40">
        <f t="shared" si="4"/>
        <v>439969.4</v>
      </c>
    </row>
    <row r="467" ht="15.75" customHeight="1">
      <c r="A467" s="38">
        <v>463.0</v>
      </c>
      <c r="B467" s="39">
        <v>0.0</v>
      </c>
      <c r="C467" s="39">
        <v>736688.87</v>
      </c>
      <c r="D467" s="39">
        <v>0.0</v>
      </c>
      <c r="E467" s="40">
        <f t="shared" si="1"/>
        <v>736688.87</v>
      </c>
      <c r="F467" s="39">
        <v>0.0</v>
      </c>
      <c r="G467" s="39">
        <v>0.0</v>
      </c>
      <c r="H467" s="39">
        <v>960846.84</v>
      </c>
      <c r="I467" s="40">
        <f t="shared" si="2"/>
        <v>960846.84</v>
      </c>
      <c r="J467" s="39">
        <v>386745.86</v>
      </c>
      <c r="K467" s="39">
        <v>554059.38</v>
      </c>
      <c r="L467" s="39">
        <v>0.0</v>
      </c>
      <c r="M467" s="40">
        <f t="shared" si="3"/>
        <v>940805.24</v>
      </c>
      <c r="N467" s="39">
        <v>0.0</v>
      </c>
      <c r="O467" s="39">
        <v>864594.13</v>
      </c>
      <c r="P467" s="39">
        <v>2301790.75</v>
      </c>
      <c r="Q467" s="40">
        <f t="shared" si="4"/>
        <v>3166384.88</v>
      </c>
    </row>
    <row r="468" ht="15.75" customHeight="1">
      <c r="A468" s="38">
        <v>464.0</v>
      </c>
      <c r="B468" s="41">
        <v>163522.61</v>
      </c>
      <c r="C468" s="41">
        <v>768004.64</v>
      </c>
      <c r="D468" s="41">
        <v>0.0</v>
      </c>
      <c r="E468" s="40">
        <f t="shared" si="1"/>
        <v>931527.25</v>
      </c>
      <c r="F468" s="41">
        <v>0.0</v>
      </c>
      <c r="G468" s="41">
        <v>0.0</v>
      </c>
      <c r="H468" s="41">
        <v>0.0</v>
      </c>
      <c r="I468" s="40">
        <f t="shared" si="2"/>
        <v>0</v>
      </c>
      <c r="J468" s="41">
        <v>492636.38</v>
      </c>
      <c r="K468" s="41">
        <v>0.0</v>
      </c>
      <c r="L468" s="41">
        <v>0.0</v>
      </c>
      <c r="M468" s="40">
        <f t="shared" si="3"/>
        <v>492636.38</v>
      </c>
      <c r="N468" s="41">
        <v>1583927.23</v>
      </c>
      <c r="O468" s="41">
        <v>0.0</v>
      </c>
      <c r="P468" s="41">
        <v>0.0</v>
      </c>
      <c r="Q468" s="40">
        <f t="shared" si="4"/>
        <v>1583927.23</v>
      </c>
    </row>
    <row r="469" ht="15.75" customHeight="1">
      <c r="A469" s="38">
        <v>465.0</v>
      </c>
      <c r="B469" s="39">
        <v>0.0</v>
      </c>
      <c r="C469" s="39">
        <v>697877.59</v>
      </c>
      <c r="D469" s="39">
        <v>0.0</v>
      </c>
      <c r="E469" s="40">
        <f t="shared" si="1"/>
        <v>697877.59</v>
      </c>
      <c r="F469" s="39">
        <v>397524.61</v>
      </c>
      <c r="G469" s="39">
        <v>2277253.02</v>
      </c>
      <c r="H469" s="39">
        <v>942332.71</v>
      </c>
      <c r="I469" s="40">
        <f t="shared" si="2"/>
        <v>3617110.34</v>
      </c>
      <c r="J469" s="39">
        <v>940577.16</v>
      </c>
      <c r="K469" s="39">
        <v>152157.34</v>
      </c>
      <c r="L469" s="39">
        <v>1033340.36</v>
      </c>
      <c r="M469" s="40">
        <f t="shared" si="3"/>
        <v>2126074.86</v>
      </c>
      <c r="N469" s="39">
        <v>0.0</v>
      </c>
      <c r="O469" s="39">
        <v>914448.84</v>
      </c>
      <c r="P469" s="39">
        <v>0.0</v>
      </c>
      <c r="Q469" s="40">
        <f t="shared" si="4"/>
        <v>914448.84</v>
      </c>
    </row>
    <row r="470" ht="15.75" customHeight="1">
      <c r="A470" s="38">
        <v>466.0</v>
      </c>
      <c r="B470" s="41">
        <v>0.0</v>
      </c>
      <c r="C470" s="41">
        <v>803808.38</v>
      </c>
      <c r="D470" s="41">
        <v>0.0</v>
      </c>
      <c r="E470" s="40">
        <f t="shared" si="1"/>
        <v>803808.38</v>
      </c>
      <c r="F470" s="41">
        <v>2139229.79</v>
      </c>
      <c r="G470" s="41">
        <v>0.0</v>
      </c>
      <c r="H470" s="41">
        <v>1.184236248E7</v>
      </c>
      <c r="I470" s="40">
        <f t="shared" si="2"/>
        <v>13981592.27</v>
      </c>
      <c r="J470" s="41">
        <v>2079378.13</v>
      </c>
      <c r="K470" s="41">
        <v>143106.56</v>
      </c>
      <c r="L470" s="41">
        <v>0.0</v>
      </c>
      <c r="M470" s="40">
        <f t="shared" si="3"/>
        <v>2222484.69</v>
      </c>
      <c r="N470" s="41">
        <v>209202.27</v>
      </c>
      <c r="O470" s="41">
        <v>0.0</v>
      </c>
      <c r="P470" s="41">
        <v>0.0</v>
      </c>
      <c r="Q470" s="40">
        <f t="shared" si="4"/>
        <v>209202.27</v>
      </c>
    </row>
    <row r="471" ht="15.75" customHeight="1">
      <c r="A471" s="38">
        <v>467.0</v>
      </c>
      <c r="B471" s="39">
        <v>1325567.74</v>
      </c>
      <c r="C471" s="39">
        <v>115104.5</v>
      </c>
      <c r="D471" s="39">
        <v>0.0</v>
      </c>
      <c r="E471" s="40">
        <f t="shared" si="1"/>
        <v>1440672.24</v>
      </c>
      <c r="F471" s="39">
        <v>1200353.25</v>
      </c>
      <c r="G471" s="39">
        <v>260285.18</v>
      </c>
      <c r="H471" s="39">
        <v>279468.71</v>
      </c>
      <c r="I471" s="40">
        <f t="shared" si="2"/>
        <v>1740107.14</v>
      </c>
      <c r="J471" s="39">
        <v>318443.41</v>
      </c>
      <c r="K471" s="39">
        <v>40055.74</v>
      </c>
      <c r="L471" s="39">
        <v>0.0</v>
      </c>
      <c r="M471" s="40">
        <f t="shared" si="3"/>
        <v>358499.15</v>
      </c>
      <c r="N471" s="39">
        <v>2433398.98</v>
      </c>
      <c r="O471" s="39">
        <v>0.0</v>
      </c>
      <c r="P471" s="39">
        <v>0.0</v>
      </c>
      <c r="Q471" s="40">
        <f t="shared" si="4"/>
        <v>2433398.98</v>
      </c>
    </row>
    <row r="472" ht="15.75" customHeight="1">
      <c r="A472" s="38">
        <v>468.0</v>
      </c>
      <c r="B472" s="41">
        <v>0.0</v>
      </c>
      <c r="C472" s="41">
        <v>0.0</v>
      </c>
      <c r="D472" s="41">
        <v>0.0</v>
      </c>
      <c r="E472" s="40">
        <f t="shared" si="1"/>
        <v>0</v>
      </c>
      <c r="F472" s="41">
        <v>0.0</v>
      </c>
      <c r="G472" s="41">
        <v>0.0</v>
      </c>
      <c r="H472" s="41">
        <v>0.0</v>
      </c>
      <c r="I472" s="40">
        <f t="shared" si="2"/>
        <v>0</v>
      </c>
      <c r="J472" s="41">
        <v>1389539.38</v>
      </c>
      <c r="K472" s="41">
        <v>0.0</v>
      </c>
      <c r="L472" s="41">
        <v>0.0</v>
      </c>
      <c r="M472" s="40">
        <f t="shared" si="3"/>
        <v>1389539.38</v>
      </c>
      <c r="N472" s="41">
        <v>3481013.23</v>
      </c>
      <c r="O472" s="41">
        <v>0.0</v>
      </c>
      <c r="P472" s="41">
        <v>0.0</v>
      </c>
      <c r="Q472" s="40">
        <f t="shared" si="4"/>
        <v>3481013.23</v>
      </c>
    </row>
    <row r="473" ht="15.75" customHeight="1">
      <c r="A473" s="38">
        <v>469.0</v>
      </c>
      <c r="B473" s="39">
        <v>505342.22</v>
      </c>
      <c r="C473" s="39">
        <v>135667.46</v>
      </c>
      <c r="D473" s="39">
        <v>9708874.73</v>
      </c>
      <c r="E473" s="40">
        <f t="shared" si="1"/>
        <v>10349884.41</v>
      </c>
      <c r="F473" s="39">
        <v>0.0</v>
      </c>
      <c r="G473" s="39">
        <v>0.0</v>
      </c>
      <c r="H473" s="39">
        <v>0.0</v>
      </c>
      <c r="I473" s="40">
        <f t="shared" si="2"/>
        <v>0</v>
      </c>
      <c r="J473" s="39">
        <v>0.0</v>
      </c>
      <c r="K473" s="39">
        <v>0.0</v>
      </c>
      <c r="L473" s="39">
        <v>0.0</v>
      </c>
      <c r="M473" s="40">
        <f t="shared" si="3"/>
        <v>0</v>
      </c>
      <c r="N473" s="39">
        <v>0.0</v>
      </c>
      <c r="O473" s="39">
        <v>0.0</v>
      </c>
      <c r="P473" s="39">
        <v>0.0</v>
      </c>
      <c r="Q473" s="40">
        <f t="shared" si="4"/>
        <v>0</v>
      </c>
    </row>
    <row r="474" ht="15.75" customHeight="1">
      <c r="A474" s="38">
        <v>470.0</v>
      </c>
      <c r="B474" s="41">
        <v>0.0</v>
      </c>
      <c r="C474" s="41">
        <v>0.0</v>
      </c>
      <c r="D474" s="41">
        <v>0.0</v>
      </c>
      <c r="E474" s="40">
        <f t="shared" si="1"/>
        <v>0</v>
      </c>
      <c r="F474" s="41">
        <v>0.0</v>
      </c>
      <c r="G474" s="41">
        <v>0.0</v>
      </c>
      <c r="H474" s="41">
        <v>0.0</v>
      </c>
      <c r="I474" s="40">
        <f t="shared" si="2"/>
        <v>0</v>
      </c>
      <c r="J474" s="41">
        <v>0.0</v>
      </c>
      <c r="K474" s="41">
        <v>0.0</v>
      </c>
      <c r="L474" s="41">
        <v>0.0</v>
      </c>
      <c r="M474" s="40">
        <f t="shared" si="3"/>
        <v>0</v>
      </c>
      <c r="N474" s="41">
        <v>0.0</v>
      </c>
      <c r="O474" s="41">
        <v>196672.89</v>
      </c>
      <c r="P474" s="41">
        <v>5728926.44</v>
      </c>
      <c r="Q474" s="40">
        <f t="shared" si="4"/>
        <v>5925599.33</v>
      </c>
    </row>
    <row r="475" ht="15.75" customHeight="1">
      <c r="A475" s="38">
        <v>471.0</v>
      </c>
      <c r="B475" s="39">
        <v>0.0</v>
      </c>
      <c r="C475" s="39">
        <v>0.0</v>
      </c>
      <c r="D475" s="39">
        <v>6044549.24</v>
      </c>
      <c r="E475" s="40">
        <f t="shared" si="1"/>
        <v>6044549.24</v>
      </c>
      <c r="F475" s="39">
        <v>0.0</v>
      </c>
      <c r="G475" s="39">
        <v>823212.01</v>
      </c>
      <c r="H475" s="39">
        <v>4666132.11</v>
      </c>
      <c r="I475" s="40">
        <f t="shared" si="2"/>
        <v>5489344.12</v>
      </c>
      <c r="J475" s="39">
        <v>1409966.97</v>
      </c>
      <c r="K475" s="39">
        <v>0.0</v>
      </c>
      <c r="L475" s="39">
        <v>0.0</v>
      </c>
      <c r="M475" s="40">
        <f t="shared" si="3"/>
        <v>1409966.97</v>
      </c>
      <c r="N475" s="39">
        <v>0.0</v>
      </c>
      <c r="O475" s="39">
        <v>0.0</v>
      </c>
      <c r="P475" s="39">
        <v>0.0</v>
      </c>
      <c r="Q475" s="40">
        <f t="shared" si="4"/>
        <v>0</v>
      </c>
    </row>
    <row r="476" ht="15.75" customHeight="1">
      <c r="A476" s="38">
        <v>472.0</v>
      </c>
      <c r="B476" s="41">
        <v>0.0</v>
      </c>
      <c r="C476" s="41">
        <v>134403.71</v>
      </c>
      <c r="D476" s="41">
        <v>0.0</v>
      </c>
      <c r="E476" s="40">
        <f t="shared" si="1"/>
        <v>134403.71</v>
      </c>
      <c r="F476" s="41">
        <v>0.0</v>
      </c>
      <c r="G476" s="41">
        <v>306449.42</v>
      </c>
      <c r="H476" s="41">
        <v>0.0</v>
      </c>
      <c r="I476" s="40">
        <f t="shared" si="2"/>
        <v>306449.42</v>
      </c>
      <c r="J476" s="41">
        <v>1536481.03</v>
      </c>
      <c r="K476" s="41">
        <v>353320.32</v>
      </c>
      <c r="L476" s="41">
        <v>0.0</v>
      </c>
      <c r="M476" s="40">
        <f t="shared" si="3"/>
        <v>1889801.35</v>
      </c>
      <c r="N476" s="41">
        <v>617076.65</v>
      </c>
      <c r="O476" s="41">
        <v>0.0</v>
      </c>
      <c r="P476" s="41">
        <v>0.0</v>
      </c>
      <c r="Q476" s="40">
        <f t="shared" si="4"/>
        <v>617076.65</v>
      </c>
    </row>
    <row r="477" ht="15.75" customHeight="1">
      <c r="A477" s="38">
        <v>473.0</v>
      </c>
      <c r="B477" s="39">
        <v>0.0</v>
      </c>
      <c r="C477" s="39">
        <v>0.0</v>
      </c>
      <c r="D477" s="39">
        <v>0.0</v>
      </c>
      <c r="E477" s="40">
        <f t="shared" si="1"/>
        <v>0</v>
      </c>
      <c r="F477" s="39">
        <v>199261.37</v>
      </c>
      <c r="G477" s="39">
        <v>0.0</v>
      </c>
      <c r="H477" s="39">
        <v>0.0</v>
      </c>
      <c r="I477" s="40">
        <f t="shared" si="2"/>
        <v>199261.37</v>
      </c>
      <c r="J477" s="39">
        <v>1.222925772E7</v>
      </c>
      <c r="K477" s="39">
        <v>175559.04</v>
      </c>
      <c r="L477" s="39">
        <v>3776902.83</v>
      </c>
      <c r="M477" s="40">
        <f t="shared" si="3"/>
        <v>16181719.59</v>
      </c>
      <c r="N477" s="39">
        <v>0.0</v>
      </c>
      <c r="O477" s="39">
        <v>0.0</v>
      </c>
      <c r="P477" s="39">
        <v>1.575235256E7</v>
      </c>
      <c r="Q477" s="40">
        <f t="shared" si="4"/>
        <v>15752352.56</v>
      </c>
    </row>
    <row r="478" ht="15.75" customHeight="1">
      <c r="A478" s="38">
        <v>474.0</v>
      </c>
      <c r="B478" s="41">
        <v>0.0</v>
      </c>
      <c r="C478" s="41">
        <v>616380.1</v>
      </c>
      <c r="D478" s="41">
        <v>0.0</v>
      </c>
      <c r="E478" s="40">
        <f t="shared" si="1"/>
        <v>616380.1</v>
      </c>
      <c r="F478" s="41">
        <v>2388215.52</v>
      </c>
      <c r="G478" s="41">
        <v>0.0</v>
      </c>
      <c r="H478" s="41">
        <v>0.0</v>
      </c>
      <c r="I478" s="40">
        <f t="shared" si="2"/>
        <v>2388215.52</v>
      </c>
      <c r="J478" s="41">
        <v>0.0</v>
      </c>
      <c r="K478" s="41">
        <v>895274.8</v>
      </c>
      <c r="L478" s="41">
        <v>0.0</v>
      </c>
      <c r="M478" s="40">
        <f t="shared" si="3"/>
        <v>895274.8</v>
      </c>
      <c r="N478" s="41">
        <v>0.0</v>
      </c>
      <c r="O478" s="41">
        <v>0.0</v>
      </c>
      <c r="P478" s="41">
        <v>0.0</v>
      </c>
      <c r="Q478" s="40">
        <f t="shared" si="4"/>
        <v>0</v>
      </c>
    </row>
    <row r="479" ht="15.75" customHeight="1">
      <c r="A479" s="38">
        <v>475.0</v>
      </c>
      <c r="B479" s="39">
        <v>0.0</v>
      </c>
      <c r="C479" s="39">
        <v>0.0</v>
      </c>
      <c r="D479" s="39">
        <v>0.0</v>
      </c>
      <c r="E479" s="40">
        <f t="shared" si="1"/>
        <v>0</v>
      </c>
      <c r="F479" s="39">
        <v>0.0</v>
      </c>
      <c r="G479" s="39">
        <v>0.0</v>
      </c>
      <c r="H479" s="39">
        <v>0.0</v>
      </c>
      <c r="I479" s="40">
        <f t="shared" si="2"/>
        <v>0</v>
      </c>
      <c r="J479" s="39">
        <v>0.0</v>
      </c>
      <c r="K479" s="39">
        <v>0.0</v>
      </c>
      <c r="L479" s="39">
        <v>0.0</v>
      </c>
      <c r="M479" s="40">
        <f t="shared" si="3"/>
        <v>0</v>
      </c>
      <c r="N479" s="39">
        <v>0.0</v>
      </c>
      <c r="O479" s="39">
        <v>0.0</v>
      </c>
      <c r="P479" s="39">
        <v>0.0</v>
      </c>
      <c r="Q479" s="40">
        <f t="shared" si="4"/>
        <v>0</v>
      </c>
    </row>
    <row r="480" ht="15.75" customHeight="1">
      <c r="A480" s="38">
        <v>476.0</v>
      </c>
      <c r="B480" s="41">
        <v>0.0</v>
      </c>
      <c r="C480" s="41">
        <v>768445.39</v>
      </c>
      <c r="D480" s="41">
        <v>0.0</v>
      </c>
      <c r="E480" s="40">
        <f t="shared" si="1"/>
        <v>768445.39</v>
      </c>
      <c r="F480" s="41">
        <v>847344.82</v>
      </c>
      <c r="G480" s="41">
        <v>620970.42</v>
      </c>
      <c r="H480" s="41">
        <v>1464240.61</v>
      </c>
      <c r="I480" s="40">
        <f t="shared" si="2"/>
        <v>2932555.85</v>
      </c>
      <c r="J480" s="41">
        <v>0.0</v>
      </c>
      <c r="K480" s="41">
        <v>0.0</v>
      </c>
      <c r="L480" s="41">
        <v>0.0</v>
      </c>
      <c r="M480" s="40">
        <f t="shared" si="3"/>
        <v>0</v>
      </c>
      <c r="N480" s="41">
        <v>0.0</v>
      </c>
      <c r="O480" s="41">
        <v>0.0</v>
      </c>
      <c r="P480" s="41">
        <v>0.0</v>
      </c>
      <c r="Q480" s="40">
        <f t="shared" si="4"/>
        <v>0</v>
      </c>
    </row>
    <row r="481" ht="15.75" customHeight="1">
      <c r="A481" s="38">
        <v>477.0</v>
      </c>
      <c r="B481" s="39">
        <v>0.0</v>
      </c>
      <c r="C481" s="39">
        <v>0.0</v>
      </c>
      <c r="D481" s="39">
        <v>0.0</v>
      </c>
      <c r="E481" s="40">
        <f t="shared" si="1"/>
        <v>0</v>
      </c>
      <c r="F481" s="39">
        <v>0.0</v>
      </c>
      <c r="G481" s="39">
        <v>1362807.99</v>
      </c>
      <c r="H481" s="39">
        <v>0.0</v>
      </c>
      <c r="I481" s="40">
        <f t="shared" si="2"/>
        <v>1362807.99</v>
      </c>
      <c r="J481" s="39">
        <v>4373818.01</v>
      </c>
      <c r="K481" s="39">
        <v>0.0</v>
      </c>
      <c r="L481" s="39">
        <v>989628.74</v>
      </c>
      <c r="M481" s="40">
        <f t="shared" si="3"/>
        <v>5363446.75</v>
      </c>
      <c r="N481" s="39">
        <v>0.0</v>
      </c>
      <c r="O481" s="39">
        <v>470826.71</v>
      </c>
      <c r="P481" s="39">
        <v>0.0</v>
      </c>
      <c r="Q481" s="40">
        <f t="shared" si="4"/>
        <v>470826.71</v>
      </c>
    </row>
    <row r="482" ht="15.75" customHeight="1">
      <c r="A482" s="38">
        <v>478.0</v>
      </c>
      <c r="B482" s="41">
        <v>0.0</v>
      </c>
      <c r="C482" s="41">
        <v>0.0</v>
      </c>
      <c r="D482" s="41">
        <v>2.661131068E7</v>
      </c>
      <c r="E482" s="40">
        <f t="shared" si="1"/>
        <v>26611310.68</v>
      </c>
      <c r="F482" s="41">
        <v>0.0</v>
      </c>
      <c r="G482" s="41">
        <v>0.0</v>
      </c>
      <c r="H482" s="41">
        <v>0.0</v>
      </c>
      <c r="I482" s="40">
        <f t="shared" si="2"/>
        <v>0</v>
      </c>
      <c r="J482" s="41">
        <v>1747417.96</v>
      </c>
      <c r="K482" s="41">
        <v>169944.24</v>
      </c>
      <c r="L482" s="41">
        <v>0.0</v>
      </c>
      <c r="M482" s="40">
        <f t="shared" si="3"/>
        <v>1917362.2</v>
      </c>
      <c r="N482" s="41">
        <v>741776.19</v>
      </c>
      <c r="O482" s="41">
        <v>897198.63</v>
      </c>
      <c r="P482" s="41">
        <v>1526995.67</v>
      </c>
      <c r="Q482" s="40">
        <f t="shared" si="4"/>
        <v>3165970.49</v>
      </c>
    </row>
    <row r="483" ht="15.75" customHeight="1">
      <c r="A483" s="38">
        <v>479.0</v>
      </c>
      <c r="B483" s="39">
        <v>0.0</v>
      </c>
      <c r="C483" s="39">
        <v>317493.54</v>
      </c>
      <c r="D483" s="39">
        <v>0.0</v>
      </c>
      <c r="E483" s="40">
        <f t="shared" si="1"/>
        <v>317493.54</v>
      </c>
      <c r="F483" s="39">
        <v>0.0</v>
      </c>
      <c r="G483" s="39">
        <v>320212.97</v>
      </c>
      <c r="H483" s="39">
        <v>5908948.04</v>
      </c>
      <c r="I483" s="40">
        <f t="shared" si="2"/>
        <v>6229161.01</v>
      </c>
      <c r="J483" s="39">
        <v>1384288.47</v>
      </c>
      <c r="K483" s="39">
        <v>161521.31</v>
      </c>
      <c r="L483" s="39">
        <v>1909230.47</v>
      </c>
      <c r="M483" s="40">
        <f t="shared" si="3"/>
        <v>3455040.25</v>
      </c>
      <c r="N483" s="39">
        <v>0.0</v>
      </c>
      <c r="O483" s="39">
        <v>0.0</v>
      </c>
      <c r="P483" s="39">
        <v>0.0</v>
      </c>
      <c r="Q483" s="40">
        <f t="shared" si="4"/>
        <v>0</v>
      </c>
    </row>
    <row r="484" ht="15.75" customHeight="1">
      <c r="A484" s="38">
        <v>480.0</v>
      </c>
      <c r="B484" s="41">
        <v>553657.9</v>
      </c>
      <c r="C484" s="41">
        <v>389072.09</v>
      </c>
      <c r="D484" s="41">
        <v>0.0</v>
      </c>
      <c r="E484" s="40">
        <f t="shared" si="1"/>
        <v>942729.99</v>
      </c>
      <c r="F484" s="41">
        <v>0.0</v>
      </c>
      <c r="G484" s="41">
        <v>449613.91</v>
      </c>
      <c r="H484" s="41">
        <v>0.0</v>
      </c>
      <c r="I484" s="40">
        <f t="shared" si="2"/>
        <v>449613.91</v>
      </c>
      <c r="J484" s="41">
        <v>0.0</v>
      </c>
      <c r="K484" s="41">
        <v>89085.45</v>
      </c>
      <c r="L484" s="41">
        <v>0.0</v>
      </c>
      <c r="M484" s="40">
        <f t="shared" si="3"/>
        <v>89085.45</v>
      </c>
      <c r="N484" s="41">
        <v>0.0</v>
      </c>
      <c r="O484" s="41">
        <v>0.0</v>
      </c>
      <c r="P484" s="41">
        <v>0.0</v>
      </c>
      <c r="Q484" s="40">
        <f t="shared" si="4"/>
        <v>0</v>
      </c>
    </row>
    <row r="485" ht="15.75" customHeight="1">
      <c r="A485" s="38">
        <v>481.0</v>
      </c>
      <c r="B485" s="39">
        <v>0.0</v>
      </c>
      <c r="C485" s="39">
        <v>1315385.85</v>
      </c>
      <c r="D485" s="39">
        <v>0.0</v>
      </c>
      <c r="E485" s="40">
        <f t="shared" si="1"/>
        <v>1315385.85</v>
      </c>
      <c r="F485" s="39">
        <v>0.0</v>
      </c>
      <c r="G485" s="39">
        <v>270840.37</v>
      </c>
      <c r="H485" s="39">
        <v>0.0</v>
      </c>
      <c r="I485" s="40">
        <f t="shared" si="2"/>
        <v>270840.37</v>
      </c>
      <c r="J485" s="39">
        <v>0.0</v>
      </c>
      <c r="K485" s="39">
        <v>773717.25</v>
      </c>
      <c r="L485" s="39">
        <v>0.0</v>
      </c>
      <c r="M485" s="40">
        <f t="shared" si="3"/>
        <v>773717.25</v>
      </c>
      <c r="N485" s="39">
        <v>666051.49</v>
      </c>
      <c r="O485" s="39">
        <v>0.0</v>
      </c>
      <c r="P485" s="39">
        <v>0.0</v>
      </c>
      <c r="Q485" s="40">
        <f t="shared" si="4"/>
        <v>666051.49</v>
      </c>
    </row>
    <row r="486" ht="15.75" customHeight="1">
      <c r="A486" s="38">
        <v>482.0</v>
      </c>
      <c r="B486" s="41">
        <v>193104.67</v>
      </c>
      <c r="C486" s="41">
        <v>0.0</v>
      </c>
      <c r="D486" s="41">
        <v>2595024.99</v>
      </c>
      <c r="E486" s="40">
        <f t="shared" si="1"/>
        <v>2788129.66</v>
      </c>
      <c r="F486" s="41">
        <v>0.0</v>
      </c>
      <c r="G486" s="41">
        <v>345302.54</v>
      </c>
      <c r="H486" s="41">
        <v>0.0</v>
      </c>
      <c r="I486" s="40">
        <f t="shared" si="2"/>
        <v>345302.54</v>
      </c>
      <c r="J486" s="41">
        <v>435448.49</v>
      </c>
      <c r="K486" s="41">
        <v>1737030.88</v>
      </c>
      <c r="L486" s="41">
        <v>725843.08</v>
      </c>
      <c r="M486" s="40">
        <f t="shared" si="3"/>
        <v>2898322.45</v>
      </c>
      <c r="N486" s="41">
        <v>0.0</v>
      </c>
      <c r="O486" s="41">
        <v>690550.98</v>
      </c>
      <c r="P486" s="41">
        <v>5683174.49</v>
      </c>
      <c r="Q486" s="40">
        <f t="shared" si="4"/>
        <v>6373725.47</v>
      </c>
    </row>
    <row r="487" ht="15.75" customHeight="1">
      <c r="A487" s="38">
        <v>483.0</v>
      </c>
      <c r="B487" s="39">
        <v>147413.3</v>
      </c>
      <c r="C487" s="39">
        <v>439472.65</v>
      </c>
      <c r="D487" s="39">
        <v>5533825.61</v>
      </c>
      <c r="E487" s="40">
        <f t="shared" si="1"/>
        <v>6120711.56</v>
      </c>
      <c r="F487" s="39">
        <v>0.0</v>
      </c>
      <c r="G487" s="39">
        <v>0.0</v>
      </c>
      <c r="H487" s="39">
        <v>0.0</v>
      </c>
      <c r="I487" s="40">
        <f t="shared" si="2"/>
        <v>0</v>
      </c>
      <c r="J487" s="39">
        <v>0.0</v>
      </c>
      <c r="K487" s="39">
        <v>109529.27</v>
      </c>
      <c r="L487" s="39">
        <v>3019668.75</v>
      </c>
      <c r="M487" s="40">
        <f t="shared" si="3"/>
        <v>3129198.02</v>
      </c>
      <c r="N487" s="39">
        <v>0.0</v>
      </c>
      <c r="O487" s="39">
        <v>0.0</v>
      </c>
      <c r="P487" s="39">
        <v>0.0</v>
      </c>
      <c r="Q487" s="40">
        <f t="shared" si="4"/>
        <v>0</v>
      </c>
    </row>
    <row r="488" ht="15.75" customHeight="1">
      <c r="A488" s="38">
        <v>484.0</v>
      </c>
      <c r="B488" s="41">
        <v>0.0</v>
      </c>
      <c r="C488" s="41">
        <v>0.0</v>
      </c>
      <c r="D488" s="41">
        <v>0.0</v>
      </c>
      <c r="E488" s="40">
        <f t="shared" si="1"/>
        <v>0</v>
      </c>
      <c r="F488" s="41">
        <v>1036611.18</v>
      </c>
      <c r="G488" s="41">
        <v>235156.03</v>
      </c>
      <c r="H488" s="41">
        <v>5135437.28</v>
      </c>
      <c r="I488" s="40">
        <f t="shared" si="2"/>
        <v>6407204.49</v>
      </c>
      <c r="J488" s="41">
        <v>0.0</v>
      </c>
      <c r="K488" s="41">
        <v>0.0</v>
      </c>
      <c r="L488" s="41">
        <v>0.0</v>
      </c>
      <c r="M488" s="40">
        <f t="shared" si="3"/>
        <v>0</v>
      </c>
      <c r="N488" s="41">
        <v>0.0</v>
      </c>
      <c r="O488" s="41">
        <v>0.0</v>
      </c>
      <c r="P488" s="41">
        <v>0.0</v>
      </c>
      <c r="Q488" s="40">
        <f t="shared" si="4"/>
        <v>0</v>
      </c>
    </row>
    <row r="489" ht="15.75" customHeight="1">
      <c r="A489" s="38">
        <v>485.0</v>
      </c>
      <c r="B489" s="39">
        <v>1085950.07</v>
      </c>
      <c r="C489" s="39">
        <v>380963.78</v>
      </c>
      <c r="D489" s="39">
        <v>0.0</v>
      </c>
      <c r="E489" s="40">
        <f t="shared" si="1"/>
        <v>1466913.85</v>
      </c>
      <c r="F489" s="39">
        <v>0.0</v>
      </c>
      <c r="G489" s="39">
        <v>0.0</v>
      </c>
      <c r="H489" s="39">
        <v>0.0</v>
      </c>
      <c r="I489" s="40">
        <f t="shared" si="2"/>
        <v>0</v>
      </c>
      <c r="J489" s="39">
        <v>0.0</v>
      </c>
      <c r="K489" s="39">
        <v>0.0</v>
      </c>
      <c r="L489" s="39">
        <v>0.0</v>
      </c>
      <c r="M489" s="40">
        <f t="shared" si="3"/>
        <v>0</v>
      </c>
      <c r="N489" s="39">
        <v>0.0</v>
      </c>
      <c r="O489" s="39">
        <v>0.0</v>
      </c>
      <c r="P489" s="39">
        <v>3357456.5</v>
      </c>
      <c r="Q489" s="40">
        <f t="shared" si="4"/>
        <v>3357456.5</v>
      </c>
    </row>
    <row r="490" ht="15.75" customHeight="1">
      <c r="A490" s="38">
        <v>486.0</v>
      </c>
      <c r="B490" s="41">
        <v>1035354.39</v>
      </c>
      <c r="C490" s="41">
        <v>643509.11</v>
      </c>
      <c r="D490" s="41">
        <v>0.0</v>
      </c>
      <c r="E490" s="40">
        <f t="shared" si="1"/>
        <v>1678863.5</v>
      </c>
      <c r="F490" s="41">
        <v>0.0</v>
      </c>
      <c r="G490" s="41">
        <v>0.0</v>
      </c>
      <c r="H490" s="41">
        <v>0.0</v>
      </c>
      <c r="I490" s="40">
        <f t="shared" si="2"/>
        <v>0</v>
      </c>
      <c r="J490" s="41">
        <v>1172281.59</v>
      </c>
      <c r="K490" s="41">
        <v>0.0</v>
      </c>
      <c r="L490" s="41">
        <v>0.0</v>
      </c>
      <c r="M490" s="40">
        <f t="shared" si="3"/>
        <v>1172281.59</v>
      </c>
      <c r="N490" s="41">
        <v>0.0</v>
      </c>
      <c r="O490" s="41">
        <v>0.0</v>
      </c>
      <c r="P490" s="41">
        <v>0.0</v>
      </c>
      <c r="Q490" s="40">
        <f t="shared" si="4"/>
        <v>0</v>
      </c>
    </row>
    <row r="491" ht="15.75" customHeight="1">
      <c r="A491" s="38">
        <v>487.0</v>
      </c>
      <c r="B491" s="39">
        <v>2687168.65</v>
      </c>
      <c r="C491" s="39">
        <v>923017.62</v>
      </c>
      <c r="D491" s="39">
        <v>2.493125386E7</v>
      </c>
      <c r="E491" s="40">
        <f t="shared" si="1"/>
        <v>28541440.13</v>
      </c>
      <c r="F491" s="39">
        <v>0.0</v>
      </c>
      <c r="G491" s="39">
        <v>0.0</v>
      </c>
      <c r="H491" s="39">
        <v>5197878.31</v>
      </c>
      <c r="I491" s="40">
        <f t="shared" si="2"/>
        <v>5197878.31</v>
      </c>
      <c r="J491" s="39">
        <v>1433129.19</v>
      </c>
      <c r="K491" s="39">
        <v>223549.98</v>
      </c>
      <c r="L491" s="39">
        <v>0.0</v>
      </c>
      <c r="M491" s="40">
        <f t="shared" si="3"/>
        <v>1656679.17</v>
      </c>
      <c r="N491" s="39">
        <v>0.0</v>
      </c>
      <c r="O491" s="39">
        <v>0.0</v>
      </c>
      <c r="P491" s="39">
        <v>0.0</v>
      </c>
      <c r="Q491" s="40">
        <f t="shared" si="4"/>
        <v>0</v>
      </c>
    </row>
    <row r="492" ht="15.75" customHeight="1">
      <c r="A492" s="38">
        <v>488.0</v>
      </c>
      <c r="B492" s="41">
        <v>2360068.32</v>
      </c>
      <c r="C492" s="41">
        <v>0.0</v>
      </c>
      <c r="D492" s="41">
        <v>0.0</v>
      </c>
      <c r="E492" s="40">
        <f t="shared" si="1"/>
        <v>2360068.32</v>
      </c>
      <c r="F492" s="41">
        <v>0.0</v>
      </c>
      <c r="G492" s="41">
        <v>0.0</v>
      </c>
      <c r="H492" s="41">
        <v>1.086880467E7</v>
      </c>
      <c r="I492" s="40">
        <f t="shared" si="2"/>
        <v>10868804.67</v>
      </c>
      <c r="J492" s="41">
        <v>1.015968266E7</v>
      </c>
      <c r="K492" s="41">
        <v>76785.06</v>
      </c>
      <c r="L492" s="41">
        <v>0.0</v>
      </c>
      <c r="M492" s="40">
        <f t="shared" si="3"/>
        <v>10236467.72</v>
      </c>
      <c r="N492" s="41">
        <v>0.0</v>
      </c>
      <c r="O492" s="41">
        <v>349929.76</v>
      </c>
      <c r="P492" s="41">
        <v>0.0</v>
      </c>
      <c r="Q492" s="40">
        <f t="shared" si="4"/>
        <v>349929.76</v>
      </c>
    </row>
    <row r="493" ht="15.75" customHeight="1">
      <c r="A493" s="38">
        <v>489.0</v>
      </c>
      <c r="B493" s="39">
        <v>389126.56</v>
      </c>
      <c r="C493" s="39">
        <v>0.0</v>
      </c>
      <c r="D493" s="39">
        <v>0.0</v>
      </c>
      <c r="E493" s="40">
        <f t="shared" si="1"/>
        <v>389126.56</v>
      </c>
      <c r="F493" s="39">
        <v>1071802.88</v>
      </c>
      <c r="G493" s="39">
        <v>0.0</v>
      </c>
      <c r="H493" s="39">
        <v>3438125.14</v>
      </c>
      <c r="I493" s="40">
        <f t="shared" si="2"/>
        <v>4509928.02</v>
      </c>
      <c r="J493" s="39">
        <v>0.0</v>
      </c>
      <c r="K493" s="39">
        <v>446258.07</v>
      </c>
      <c r="L493" s="39">
        <v>0.0</v>
      </c>
      <c r="M493" s="40">
        <f t="shared" si="3"/>
        <v>446258.07</v>
      </c>
      <c r="N493" s="39">
        <v>2708004.36</v>
      </c>
      <c r="O493" s="39">
        <v>129740.84</v>
      </c>
      <c r="P493" s="39">
        <v>0.0</v>
      </c>
      <c r="Q493" s="40">
        <f t="shared" si="4"/>
        <v>2837745.2</v>
      </c>
    </row>
    <row r="494" ht="15.75" customHeight="1">
      <c r="A494" s="38">
        <v>490.0</v>
      </c>
      <c r="B494" s="41">
        <v>6201026.12</v>
      </c>
      <c r="C494" s="41">
        <v>933369.93</v>
      </c>
      <c r="D494" s="41">
        <v>3343374.01</v>
      </c>
      <c r="E494" s="40">
        <f t="shared" si="1"/>
        <v>10477770.06</v>
      </c>
      <c r="F494" s="41">
        <v>3769631.73</v>
      </c>
      <c r="G494" s="41">
        <v>0.0</v>
      </c>
      <c r="H494" s="41">
        <v>0.0</v>
      </c>
      <c r="I494" s="40">
        <f t="shared" si="2"/>
        <v>3769631.73</v>
      </c>
      <c r="J494" s="41">
        <v>0.0</v>
      </c>
      <c r="K494" s="41">
        <v>64930.95</v>
      </c>
      <c r="L494" s="41">
        <v>0.0</v>
      </c>
      <c r="M494" s="40">
        <f t="shared" si="3"/>
        <v>64930.95</v>
      </c>
      <c r="N494" s="41">
        <v>265030.81</v>
      </c>
      <c r="O494" s="41">
        <v>0.0</v>
      </c>
      <c r="P494" s="41">
        <v>0.0</v>
      </c>
      <c r="Q494" s="40">
        <f t="shared" si="4"/>
        <v>265030.81</v>
      </c>
    </row>
    <row r="495" ht="15.75" customHeight="1">
      <c r="A495" s="38">
        <v>491.0</v>
      </c>
      <c r="B495" s="39">
        <v>601494.59</v>
      </c>
      <c r="C495" s="39">
        <v>2734972.38</v>
      </c>
      <c r="D495" s="39">
        <v>0.0</v>
      </c>
      <c r="E495" s="40">
        <f t="shared" si="1"/>
        <v>3336466.97</v>
      </c>
      <c r="F495" s="39">
        <v>185552.55</v>
      </c>
      <c r="G495" s="39">
        <v>0.0</v>
      </c>
      <c r="H495" s="39">
        <v>0.0</v>
      </c>
      <c r="I495" s="40">
        <f t="shared" si="2"/>
        <v>185552.55</v>
      </c>
      <c r="J495" s="39">
        <v>0.0</v>
      </c>
      <c r="K495" s="39">
        <v>0.0</v>
      </c>
      <c r="L495" s="39">
        <v>538207.43</v>
      </c>
      <c r="M495" s="40">
        <f t="shared" si="3"/>
        <v>538207.43</v>
      </c>
      <c r="N495" s="39">
        <v>0.0</v>
      </c>
      <c r="O495" s="39">
        <v>469630.46</v>
      </c>
      <c r="P495" s="39">
        <v>4015968.02</v>
      </c>
      <c r="Q495" s="40">
        <f t="shared" si="4"/>
        <v>4485598.48</v>
      </c>
    </row>
    <row r="496" ht="15.75" customHeight="1">
      <c r="A496" s="38">
        <v>492.0</v>
      </c>
      <c r="B496" s="41">
        <v>755308.37</v>
      </c>
      <c r="C496" s="41">
        <v>0.0</v>
      </c>
      <c r="D496" s="41">
        <v>0.0</v>
      </c>
      <c r="E496" s="40">
        <f t="shared" si="1"/>
        <v>755308.37</v>
      </c>
      <c r="F496" s="41">
        <v>0.0</v>
      </c>
      <c r="G496" s="41">
        <v>771885.92</v>
      </c>
      <c r="H496" s="41">
        <v>0.0</v>
      </c>
      <c r="I496" s="40">
        <f t="shared" si="2"/>
        <v>771885.92</v>
      </c>
      <c r="J496" s="41">
        <v>0.0</v>
      </c>
      <c r="K496" s="41">
        <v>682306.51</v>
      </c>
      <c r="L496" s="41">
        <v>0.0</v>
      </c>
      <c r="M496" s="40">
        <f t="shared" si="3"/>
        <v>682306.51</v>
      </c>
      <c r="N496" s="41">
        <v>815257.18</v>
      </c>
      <c r="O496" s="41">
        <v>713796.11</v>
      </c>
      <c r="P496" s="41">
        <v>2543279.54</v>
      </c>
      <c r="Q496" s="40">
        <f t="shared" si="4"/>
        <v>4072332.83</v>
      </c>
    </row>
    <row r="497" ht="15.75" customHeight="1">
      <c r="A497" s="38">
        <v>493.0</v>
      </c>
      <c r="B497" s="39">
        <v>0.0</v>
      </c>
      <c r="C497" s="39">
        <v>77741.74</v>
      </c>
      <c r="D497" s="39">
        <v>1.675130257E7</v>
      </c>
      <c r="E497" s="40">
        <f t="shared" si="1"/>
        <v>16829044.31</v>
      </c>
      <c r="F497" s="39">
        <v>0.0</v>
      </c>
      <c r="G497" s="39">
        <v>0.0</v>
      </c>
      <c r="H497" s="39">
        <v>0.0</v>
      </c>
      <c r="I497" s="40">
        <f t="shared" si="2"/>
        <v>0</v>
      </c>
      <c r="J497" s="39">
        <v>764605.27</v>
      </c>
      <c r="K497" s="39">
        <v>233624.98</v>
      </c>
      <c r="L497" s="39">
        <v>0.0</v>
      </c>
      <c r="M497" s="40">
        <f t="shared" si="3"/>
        <v>998230.25</v>
      </c>
      <c r="N497" s="39">
        <v>0.0</v>
      </c>
      <c r="O497" s="39">
        <v>0.0</v>
      </c>
      <c r="P497" s="39">
        <v>2968369.16</v>
      </c>
      <c r="Q497" s="40">
        <f t="shared" si="4"/>
        <v>2968369.16</v>
      </c>
    </row>
    <row r="498" ht="15.75" customHeight="1">
      <c r="A498" s="38">
        <v>494.0</v>
      </c>
      <c r="B498" s="41">
        <v>3559462.27</v>
      </c>
      <c r="C498" s="41">
        <v>0.0</v>
      </c>
      <c r="D498" s="41">
        <v>0.0</v>
      </c>
      <c r="E498" s="40">
        <f t="shared" si="1"/>
        <v>3559462.27</v>
      </c>
      <c r="F498" s="41">
        <v>411726.54</v>
      </c>
      <c r="G498" s="41">
        <v>229330.13</v>
      </c>
      <c r="H498" s="41">
        <v>0.0</v>
      </c>
      <c r="I498" s="40">
        <f t="shared" si="2"/>
        <v>641056.67</v>
      </c>
      <c r="J498" s="41">
        <v>883063.9</v>
      </c>
      <c r="K498" s="41">
        <v>0.0</v>
      </c>
      <c r="L498" s="41">
        <v>0.0</v>
      </c>
      <c r="M498" s="40">
        <f t="shared" si="3"/>
        <v>883063.9</v>
      </c>
      <c r="N498" s="41">
        <v>0.0</v>
      </c>
      <c r="O498" s="41">
        <v>0.0</v>
      </c>
      <c r="P498" s="41">
        <v>0.0</v>
      </c>
      <c r="Q498" s="40">
        <f t="shared" si="4"/>
        <v>0</v>
      </c>
    </row>
    <row r="499" ht="15.75" customHeight="1">
      <c r="A499" s="38">
        <v>495.0</v>
      </c>
      <c r="B499" s="39">
        <v>4009548.8</v>
      </c>
      <c r="C499" s="39">
        <v>638075.13</v>
      </c>
      <c r="D499" s="39">
        <v>0.0</v>
      </c>
      <c r="E499" s="40">
        <f t="shared" si="1"/>
        <v>4647623.93</v>
      </c>
      <c r="F499" s="39">
        <v>0.0</v>
      </c>
      <c r="G499" s="39">
        <v>928249.2</v>
      </c>
      <c r="H499" s="39">
        <v>0.0</v>
      </c>
      <c r="I499" s="40">
        <f t="shared" si="2"/>
        <v>928249.2</v>
      </c>
      <c r="J499" s="39">
        <v>0.0</v>
      </c>
      <c r="K499" s="39">
        <v>0.0</v>
      </c>
      <c r="L499" s="39">
        <v>4737131.63</v>
      </c>
      <c r="M499" s="40">
        <f t="shared" si="3"/>
        <v>4737131.63</v>
      </c>
      <c r="N499" s="39">
        <v>0.0</v>
      </c>
      <c r="O499" s="39">
        <v>0.0</v>
      </c>
      <c r="P499" s="39">
        <v>0.0</v>
      </c>
      <c r="Q499" s="40">
        <f t="shared" si="4"/>
        <v>0</v>
      </c>
    </row>
    <row r="500" ht="15.75" customHeight="1">
      <c r="A500" s="38">
        <v>496.0</v>
      </c>
      <c r="B500" s="41">
        <v>0.0</v>
      </c>
      <c r="C500" s="41">
        <v>235059.67</v>
      </c>
      <c r="D500" s="41">
        <v>4180980.76</v>
      </c>
      <c r="E500" s="40">
        <f t="shared" si="1"/>
        <v>4416040.43</v>
      </c>
      <c r="F500" s="41">
        <v>0.0</v>
      </c>
      <c r="G500" s="41">
        <v>0.0</v>
      </c>
      <c r="H500" s="41">
        <v>0.0</v>
      </c>
      <c r="I500" s="40">
        <f t="shared" si="2"/>
        <v>0</v>
      </c>
      <c r="J500" s="41">
        <v>927776.51</v>
      </c>
      <c r="K500" s="41">
        <v>332802.03</v>
      </c>
      <c r="L500" s="41">
        <v>0.0</v>
      </c>
      <c r="M500" s="40">
        <f t="shared" si="3"/>
        <v>1260578.54</v>
      </c>
      <c r="N500" s="41">
        <v>0.0</v>
      </c>
      <c r="O500" s="41">
        <v>339797.23</v>
      </c>
      <c r="P500" s="41">
        <v>0.0</v>
      </c>
      <c r="Q500" s="40">
        <f t="shared" si="4"/>
        <v>339797.23</v>
      </c>
    </row>
    <row r="501" ht="15.75" customHeight="1">
      <c r="A501" s="38">
        <v>497.0</v>
      </c>
      <c r="B501" s="39">
        <v>0.0</v>
      </c>
      <c r="C501" s="39">
        <v>0.0</v>
      </c>
      <c r="D501" s="39">
        <v>0.0</v>
      </c>
      <c r="E501" s="40">
        <f t="shared" si="1"/>
        <v>0</v>
      </c>
      <c r="F501" s="39">
        <v>0.0</v>
      </c>
      <c r="G501" s="39">
        <v>0.0</v>
      </c>
      <c r="H501" s="39">
        <v>0.0</v>
      </c>
      <c r="I501" s="40">
        <f t="shared" si="2"/>
        <v>0</v>
      </c>
      <c r="J501" s="39">
        <v>477482.23</v>
      </c>
      <c r="K501" s="39">
        <v>561682.54</v>
      </c>
      <c r="L501" s="39">
        <v>0.0</v>
      </c>
      <c r="M501" s="40">
        <f t="shared" si="3"/>
        <v>1039164.77</v>
      </c>
      <c r="N501" s="39">
        <v>31806.1</v>
      </c>
      <c r="O501" s="39">
        <v>0.0</v>
      </c>
      <c r="P501" s="39">
        <v>6233494.31</v>
      </c>
      <c r="Q501" s="40">
        <f t="shared" si="4"/>
        <v>6265300.41</v>
      </c>
    </row>
    <row r="502" ht="15.75" customHeight="1">
      <c r="A502" s="38">
        <v>498.0</v>
      </c>
      <c r="B502" s="41">
        <v>0.0</v>
      </c>
      <c r="C502" s="41">
        <v>947973.99</v>
      </c>
      <c r="D502" s="41">
        <v>0.0</v>
      </c>
      <c r="E502" s="40">
        <f t="shared" si="1"/>
        <v>947973.99</v>
      </c>
      <c r="F502" s="41">
        <v>0.0</v>
      </c>
      <c r="G502" s="41">
        <v>90157.46</v>
      </c>
      <c r="H502" s="41">
        <v>1260316.9</v>
      </c>
      <c r="I502" s="40">
        <f t="shared" si="2"/>
        <v>1350474.36</v>
      </c>
      <c r="J502" s="41">
        <v>0.0</v>
      </c>
      <c r="K502" s="41">
        <v>0.0</v>
      </c>
      <c r="L502" s="41">
        <v>0.0</v>
      </c>
      <c r="M502" s="40">
        <f t="shared" si="3"/>
        <v>0</v>
      </c>
      <c r="N502" s="41">
        <v>3839582.11</v>
      </c>
      <c r="O502" s="41">
        <v>201062.53</v>
      </c>
      <c r="P502" s="41">
        <v>0.0</v>
      </c>
      <c r="Q502" s="40">
        <f t="shared" si="4"/>
        <v>4040644.64</v>
      </c>
    </row>
    <row r="503" ht="15.75" customHeight="1">
      <c r="A503" s="38">
        <v>499.0</v>
      </c>
      <c r="B503" s="39">
        <v>7041471.59</v>
      </c>
      <c r="C503" s="39">
        <v>404298.76</v>
      </c>
      <c r="D503" s="39">
        <v>1514983.35</v>
      </c>
      <c r="E503" s="40">
        <f t="shared" si="1"/>
        <v>8960753.7</v>
      </c>
      <c r="F503" s="39">
        <v>0.0</v>
      </c>
      <c r="G503" s="39">
        <v>330662.57</v>
      </c>
      <c r="H503" s="39">
        <v>0.0</v>
      </c>
      <c r="I503" s="40">
        <f t="shared" si="2"/>
        <v>330662.57</v>
      </c>
      <c r="J503" s="39">
        <v>1177152.22</v>
      </c>
      <c r="K503" s="39">
        <v>202568.34</v>
      </c>
      <c r="L503" s="39">
        <v>0.0</v>
      </c>
      <c r="M503" s="40">
        <f t="shared" si="3"/>
        <v>1379720.56</v>
      </c>
      <c r="N503" s="39">
        <v>0.0</v>
      </c>
      <c r="O503" s="39">
        <v>138073.29</v>
      </c>
      <c r="P503" s="39">
        <v>0.0</v>
      </c>
      <c r="Q503" s="40">
        <f t="shared" si="4"/>
        <v>138073.29</v>
      </c>
    </row>
    <row r="504" ht="15.75" customHeight="1">
      <c r="A504" s="38">
        <v>500.0</v>
      </c>
      <c r="B504" s="41">
        <v>4757713.12</v>
      </c>
      <c r="C504" s="41">
        <v>256479.63</v>
      </c>
      <c r="D504" s="41">
        <v>0.0</v>
      </c>
      <c r="E504" s="40">
        <f t="shared" si="1"/>
        <v>5014192.75</v>
      </c>
      <c r="F504" s="41">
        <v>0.0</v>
      </c>
      <c r="G504" s="41">
        <v>0.0</v>
      </c>
      <c r="H504" s="41">
        <v>0.0</v>
      </c>
      <c r="I504" s="40">
        <f t="shared" si="2"/>
        <v>0</v>
      </c>
      <c r="J504" s="41">
        <v>0.0</v>
      </c>
      <c r="K504" s="41">
        <v>565776.33</v>
      </c>
      <c r="L504" s="41">
        <v>1360724.89</v>
      </c>
      <c r="M504" s="40">
        <f t="shared" si="3"/>
        <v>1926501.22</v>
      </c>
      <c r="N504" s="41">
        <v>0.0</v>
      </c>
      <c r="O504" s="41">
        <v>0.0</v>
      </c>
      <c r="P504" s="41">
        <v>0.0</v>
      </c>
      <c r="Q504" s="40">
        <f t="shared" si="4"/>
        <v>0</v>
      </c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</row>
  </sheetData>
  <mergeCells count="5">
    <mergeCell ref="A1:Q1"/>
    <mergeCell ref="B2:E2"/>
    <mergeCell ref="F2:I2"/>
    <mergeCell ref="J2:M2"/>
    <mergeCell ref="N2:Q2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30.0"/>
    <col customWidth="1" min="2" max="5" width="18.0"/>
    <col customWidth="1" min="6" max="6" width="40.0"/>
    <col customWidth="1" min="7" max="26" width="8.71"/>
  </cols>
  <sheetData>
    <row r="1" ht="31.5" customHeight="1">
      <c r="A1" s="8" t="s">
        <v>115</v>
      </c>
      <c r="B1" s="2"/>
      <c r="C1" s="2"/>
      <c r="D1" s="2"/>
      <c r="E1" s="2"/>
      <c r="F1" s="3"/>
    </row>
    <row r="2" ht="36.0" customHeight="1">
      <c r="A2" s="16" t="s">
        <v>116</v>
      </c>
      <c r="B2" s="16" t="s">
        <v>117</v>
      </c>
      <c r="C2" s="16" t="s">
        <v>118</v>
      </c>
      <c r="D2" s="16" t="s">
        <v>119</v>
      </c>
      <c r="E2" s="16" t="s">
        <v>120</v>
      </c>
      <c r="F2" s="16" t="s">
        <v>121</v>
      </c>
    </row>
    <row r="3" ht="27.75" customHeight="1">
      <c r="A3" s="42"/>
      <c r="B3" s="43">
        <f>AVERAGE(SIMULATION!E5:E504)</f>
        <v>2986291.877</v>
      </c>
      <c r="C3" s="43">
        <f>AVERAGE(SIMULATION!I5:I504)</f>
        <v>1995797.911</v>
      </c>
      <c r="D3" s="43">
        <f>AVERAGE(SIMULATION!M5:M504)</f>
        <v>2198550.283</v>
      </c>
      <c r="E3" s="43">
        <f>AVERAGE(SIMULATION!Q5:Q504)</f>
        <v>1789145.566</v>
      </c>
      <c r="F3" s="42" t="s">
        <v>122</v>
      </c>
    </row>
    <row r="4" ht="21.75" customHeight="1">
      <c r="A4" s="18" t="s">
        <v>123</v>
      </c>
      <c r="B4" s="44">
        <f>AVERAGE(SIMULATION!E5:E504)</f>
        <v>2986291.877</v>
      </c>
      <c r="C4" s="44">
        <f>AVERAGE(SIMULATION!I5:I504)</f>
        <v>1995797.911</v>
      </c>
      <c r="D4" s="44">
        <f>AVERAGE(SIMULATION!M5:M504)</f>
        <v>2198550.283</v>
      </c>
      <c r="E4" s="44">
        <f>AVERAGE(SIMULATION!Q5:Q504)</f>
        <v>1789145.566</v>
      </c>
      <c r="F4" s="19" t="s">
        <v>124</v>
      </c>
    </row>
    <row r="5" ht="21.75" customHeight="1">
      <c r="A5" s="20" t="s">
        <v>125</v>
      </c>
      <c r="B5" s="45">
        <f>MEDIAN(SIMULATION!E5:E504)</f>
        <v>931901.315</v>
      </c>
      <c r="C5" s="45">
        <f>MEDIAN(SIMULATION!I5:I504)</f>
        <v>493216.725</v>
      </c>
      <c r="D5" s="45">
        <f>MEDIAN(SIMULATION!M5:M504)</f>
        <v>917714.065</v>
      </c>
      <c r="E5" s="45">
        <f>MEDIAN(SIMULATION!Q5:Q504)</f>
        <v>415629.615</v>
      </c>
      <c r="F5" s="21" t="s">
        <v>126</v>
      </c>
    </row>
    <row r="6" ht="21.75" customHeight="1">
      <c r="A6" s="18" t="s">
        <v>127</v>
      </c>
      <c r="B6" s="44">
        <f>PERCENTILE(SIMULATION!E5:E504, 0.75)</f>
        <v>3589412.435</v>
      </c>
      <c r="C6" s="44">
        <f>PERCENTILE(SIMULATION!I5:I504, 0.75)</f>
        <v>2324461.493</v>
      </c>
      <c r="D6" s="44">
        <f>PERCENTILE(SIMULATION!M5:M504, 0.75)</f>
        <v>2375615.713</v>
      </c>
      <c r="E6" s="44">
        <f>PERCENTILE(SIMULATION!Q5:Q504, 0.75)</f>
        <v>1914322.583</v>
      </c>
      <c r="F6" s="19" t="s">
        <v>128</v>
      </c>
    </row>
    <row r="7" ht="21.75" customHeight="1">
      <c r="A7" s="20" t="s">
        <v>129</v>
      </c>
      <c r="B7" s="45">
        <f>PERCENTILE(SIMULATION!E5:E504, 0.9)</f>
        <v>8507880.743</v>
      </c>
      <c r="C7" s="45">
        <f>PERCENTILE(SIMULATION!I5:I504, 0.9)</f>
        <v>5375131.978</v>
      </c>
      <c r="D7" s="45">
        <f>PERCENTILE(SIMULATION!M5:M504, 0.9)</f>
        <v>5378029.224</v>
      </c>
      <c r="E7" s="45">
        <f>PERCENTILE(SIMULATION!Q5:Q504, 0.9)</f>
        <v>4636230.767</v>
      </c>
      <c r="F7" s="21" t="s">
        <v>130</v>
      </c>
    </row>
    <row r="8" ht="21.75" customHeight="1">
      <c r="A8" s="18" t="s">
        <v>131</v>
      </c>
      <c r="B8" s="44">
        <f>PERCENTILE(SIMULATION!E5:E504, 0.95)</f>
        <v>12723448.15</v>
      </c>
      <c r="C8" s="44">
        <f>PERCENTILE(SIMULATION!I5:I504, 0.95)</f>
        <v>8812967.131</v>
      </c>
      <c r="D8" s="44">
        <f>PERCENTILE(SIMULATION!M5:M504, 0.95)</f>
        <v>8884921.263</v>
      </c>
      <c r="E8" s="44">
        <f>PERCENTILE(SIMULATION!Q5:Q504, 0.95)</f>
        <v>7486852.979</v>
      </c>
      <c r="F8" s="19" t="s">
        <v>132</v>
      </c>
    </row>
    <row r="9" ht="21.75" customHeight="1">
      <c r="A9" s="20" t="s">
        <v>133</v>
      </c>
      <c r="B9" s="45">
        <f>PERCENTILE(SIMULATION!E5:E504, 0.99)</f>
        <v>26630611.97</v>
      </c>
      <c r="C9" s="45">
        <f>PERCENTILE(SIMULATION!I5:I504, 0.99)</f>
        <v>15205910.79</v>
      </c>
      <c r="D9" s="45">
        <f>PERCENTILE(SIMULATION!M5:M504, 0.99)</f>
        <v>18948642.63</v>
      </c>
      <c r="E9" s="45">
        <f>PERCENTILE(SIMULATION!Q5:Q504, 0.99)</f>
        <v>17687211.68</v>
      </c>
      <c r="F9" s="21" t="s">
        <v>134</v>
      </c>
    </row>
    <row r="10" ht="21.75" customHeight="1">
      <c r="A10" s="18" t="s">
        <v>135</v>
      </c>
      <c r="B10" s="44">
        <f>STDEV(SIMULATION!E5:E504)</f>
        <v>5006903.695</v>
      </c>
      <c r="C10" s="44">
        <f>STDEV(SIMULATION!I5:I504)</f>
        <v>3690574.677</v>
      </c>
      <c r="D10" s="44">
        <f>STDEV(SIMULATION!M5:M504)</f>
        <v>3909074.115</v>
      </c>
      <c r="E10" s="44">
        <f>STDEV(SIMULATION!Q5:Q504)</f>
        <v>3840867.643</v>
      </c>
      <c r="F10" s="19" t="s">
        <v>136</v>
      </c>
    </row>
    <row r="11">
      <c r="A11" s="7"/>
      <c r="B11" s="7"/>
      <c r="C11" s="7"/>
      <c r="D11" s="7"/>
      <c r="E11" s="7"/>
      <c r="F11" s="7"/>
    </row>
    <row r="12" ht="19.5" customHeight="1">
      <c r="A12" s="22" t="s">
        <v>137</v>
      </c>
      <c r="B12" s="2"/>
      <c r="C12" s="2"/>
      <c r="D12" s="2"/>
      <c r="E12" s="2"/>
      <c r="F12" s="3"/>
    </row>
    <row r="13" ht="21.75" customHeight="1">
      <c r="A13" s="20" t="s">
        <v>138</v>
      </c>
      <c r="B13" s="46"/>
      <c r="C13" s="45">
        <f>INPUTS!B12</f>
        <v>1000000</v>
      </c>
      <c r="D13" s="45">
        <f>INPUTS!B13</f>
        <v>1500000</v>
      </c>
      <c r="E13" s="45">
        <f>INPUTS!B14</f>
        <v>2300000</v>
      </c>
      <c r="F13" s="21" t="s">
        <v>139</v>
      </c>
    </row>
    <row r="14" ht="21.75" customHeight="1">
      <c r="A14" s="18" t="s">
        <v>140</v>
      </c>
      <c r="B14" s="46"/>
      <c r="C14" s="44">
        <f>B4-C4</f>
        <v>990493.9661</v>
      </c>
      <c r="D14" s="44">
        <f>B4-D4</f>
        <v>787741.5948</v>
      </c>
      <c r="E14" s="44">
        <f>B4-E4</f>
        <v>1197146.312</v>
      </c>
      <c r="F14" s="19" t="s">
        <v>141</v>
      </c>
    </row>
    <row r="15" ht="21.75" customHeight="1">
      <c r="A15" s="20" t="s">
        <v>142</v>
      </c>
      <c r="B15" s="47"/>
      <c r="C15" s="48">
        <f t="shared" ref="C15:E15" si="1">C14/C13</f>
        <v>0.9904939661</v>
      </c>
      <c r="D15" s="48">
        <f t="shared" si="1"/>
        <v>0.5251610632</v>
      </c>
      <c r="E15" s="48">
        <f t="shared" si="1"/>
        <v>0.5204983964</v>
      </c>
      <c r="F15" s="21" t="s">
        <v>143</v>
      </c>
    </row>
    <row r="16">
      <c r="A16" s="7"/>
      <c r="B16" s="7"/>
      <c r="C16" s="7"/>
      <c r="D16" s="7"/>
      <c r="E16" s="7"/>
      <c r="F16" s="7"/>
    </row>
    <row r="17">
      <c r="A17" s="7"/>
      <c r="B17" s="7"/>
      <c r="C17" s="7"/>
      <c r="D17" s="7"/>
      <c r="E17" s="7"/>
      <c r="F17" s="7"/>
    </row>
    <row r="18">
      <c r="A18" s="7"/>
      <c r="B18" s="7"/>
      <c r="C18" s="7"/>
      <c r="D18" s="7"/>
      <c r="E18" s="7"/>
      <c r="F18" s="7"/>
    </row>
    <row r="19">
      <c r="A19" s="7"/>
      <c r="B19" s="7"/>
      <c r="C19" s="7"/>
      <c r="D19" s="7"/>
      <c r="E19" s="7"/>
      <c r="F19" s="7"/>
    </row>
    <row r="20">
      <c r="A20" s="7"/>
      <c r="B20" s="7"/>
      <c r="C20" s="7"/>
      <c r="D20" s="7"/>
      <c r="E20" s="7"/>
      <c r="F20" s="7"/>
    </row>
    <row r="21" ht="15.75" customHeight="1">
      <c r="A21" s="7"/>
      <c r="B21" s="7"/>
      <c r="C21" s="7"/>
      <c r="D21" s="7"/>
      <c r="E21" s="7"/>
      <c r="F21" s="7"/>
    </row>
    <row r="22" ht="15.75" customHeight="1">
      <c r="A22" s="7"/>
      <c r="B22" s="7"/>
      <c r="C22" s="7"/>
      <c r="D22" s="7"/>
      <c r="E22" s="7"/>
      <c r="F22" s="7"/>
    </row>
    <row r="23" ht="15.75" customHeight="1">
      <c r="A23" s="7"/>
      <c r="B23" s="7"/>
      <c r="C23" s="7"/>
      <c r="D23" s="7"/>
      <c r="E23" s="7"/>
      <c r="F23" s="7"/>
    </row>
    <row r="24" ht="15.75" customHeight="1">
      <c r="A24" s="7"/>
      <c r="B24" s="7"/>
      <c r="C24" s="7"/>
      <c r="D24" s="7"/>
      <c r="E24" s="7"/>
      <c r="F24" s="7"/>
    </row>
    <row r="25" ht="15.75" customHeight="1">
      <c r="A25" s="7"/>
      <c r="B25" s="7"/>
      <c r="C25" s="7"/>
      <c r="D25" s="7"/>
      <c r="E25" s="7"/>
      <c r="F25" s="7"/>
    </row>
    <row r="26" ht="15.75" customHeight="1">
      <c r="A26" s="7"/>
      <c r="B26" s="7"/>
      <c r="C26" s="7"/>
      <c r="D26" s="7"/>
      <c r="E26" s="7"/>
      <c r="F26" s="7"/>
    </row>
    <row r="27" ht="15.75" customHeight="1">
      <c r="A27" s="7"/>
      <c r="B27" s="7"/>
      <c r="C27" s="7"/>
      <c r="D27" s="7"/>
      <c r="E27" s="7"/>
      <c r="F27" s="7"/>
    </row>
    <row r="28" ht="15.75" customHeight="1">
      <c r="A28" s="7"/>
      <c r="B28" s="7"/>
      <c r="C28" s="7"/>
      <c r="D28" s="7"/>
      <c r="E28" s="7"/>
      <c r="F28" s="7"/>
    </row>
    <row r="29" ht="15.75" customHeight="1">
      <c r="A29" s="7"/>
      <c r="B29" s="7"/>
      <c r="C29" s="7"/>
      <c r="D29" s="7"/>
      <c r="E29" s="7"/>
      <c r="F29" s="7"/>
    </row>
    <row r="30" ht="15.75" customHeight="1">
      <c r="A30" s="7"/>
      <c r="B30" s="7"/>
      <c r="C30" s="7"/>
      <c r="D30" s="7"/>
      <c r="E30" s="7"/>
      <c r="F30" s="7"/>
    </row>
    <row r="31" ht="15.75" customHeight="1">
      <c r="A31" s="7"/>
      <c r="B31" s="7"/>
      <c r="C31" s="7"/>
      <c r="D31" s="7"/>
      <c r="E31" s="7"/>
      <c r="F31" s="7"/>
    </row>
    <row r="32" ht="15.75" customHeight="1">
      <c r="A32" s="7"/>
      <c r="B32" s="7"/>
      <c r="C32" s="7"/>
      <c r="D32" s="7"/>
      <c r="E32" s="7"/>
      <c r="F32" s="7"/>
    </row>
    <row r="33" ht="15.75" customHeight="1">
      <c r="A33" s="7"/>
      <c r="B33" s="7"/>
      <c r="C33" s="7"/>
      <c r="D33" s="7"/>
      <c r="E33" s="7"/>
      <c r="F33" s="7"/>
    </row>
    <row r="34" ht="15.75" customHeight="1">
      <c r="A34" s="7"/>
      <c r="B34" s="7"/>
      <c r="C34" s="7"/>
      <c r="D34" s="7"/>
      <c r="E34" s="7"/>
      <c r="F34" s="7"/>
    </row>
    <row r="35" ht="15.75" customHeight="1">
      <c r="A35" s="7"/>
      <c r="B35" s="7"/>
      <c r="C35" s="7"/>
      <c r="D35" s="7"/>
      <c r="E35" s="7"/>
      <c r="F35" s="7"/>
    </row>
    <row r="36" ht="15.75" customHeight="1">
      <c r="A36" s="7"/>
      <c r="B36" s="7"/>
      <c r="C36" s="7"/>
      <c r="D36" s="7"/>
      <c r="E36" s="7"/>
      <c r="F36" s="7"/>
    </row>
    <row r="37" ht="15.75" customHeight="1">
      <c r="A37" s="7"/>
      <c r="B37" s="7"/>
      <c r="C37" s="7"/>
      <c r="D37" s="7"/>
      <c r="E37" s="7"/>
      <c r="F37" s="7"/>
    </row>
    <row r="38" ht="15.75" customHeight="1">
      <c r="A38" s="7"/>
      <c r="B38" s="7"/>
      <c r="C38" s="7"/>
      <c r="D38" s="7"/>
      <c r="E38" s="7"/>
      <c r="F38" s="7"/>
    </row>
    <row r="39" ht="15.75" customHeight="1">
      <c r="A39" s="7"/>
      <c r="B39" s="7"/>
      <c r="C39" s="7"/>
      <c r="D39" s="7"/>
      <c r="E39" s="7"/>
      <c r="F39" s="7"/>
    </row>
    <row r="40" ht="15.75" customHeight="1">
      <c r="A40" s="7"/>
      <c r="B40" s="7"/>
      <c r="C40" s="7"/>
      <c r="D40" s="7"/>
      <c r="E40" s="7"/>
      <c r="F40" s="7"/>
    </row>
    <row r="41" ht="15.75" customHeight="1">
      <c r="A41" s="7"/>
      <c r="B41" s="7"/>
      <c r="C41" s="7"/>
      <c r="D41" s="7"/>
      <c r="E41" s="7"/>
      <c r="F41" s="7"/>
    </row>
    <row r="42" ht="15.75" customHeight="1">
      <c r="A42" s="7"/>
      <c r="B42" s="7"/>
      <c r="C42" s="7"/>
      <c r="D42" s="7"/>
      <c r="E42" s="7"/>
      <c r="F42" s="7"/>
    </row>
    <row r="43" ht="15.75" customHeight="1">
      <c r="A43" s="7"/>
      <c r="B43" s="7"/>
      <c r="C43" s="7"/>
      <c r="D43" s="7"/>
      <c r="E43" s="7"/>
      <c r="F43" s="7"/>
    </row>
    <row r="44" ht="15.75" customHeight="1">
      <c r="A44" s="7"/>
      <c r="B44" s="7"/>
      <c r="C44" s="7"/>
      <c r="D44" s="7"/>
      <c r="E44" s="7"/>
      <c r="F44" s="7"/>
    </row>
    <row r="45" ht="15.75" customHeight="1">
      <c r="A45" s="7"/>
      <c r="B45" s="7"/>
      <c r="C45" s="7"/>
      <c r="D45" s="7"/>
      <c r="E45" s="7"/>
      <c r="F45" s="7"/>
    </row>
    <row r="46" ht="15.75" customHeight="1">
      <c r="A46" s="7"/>
      <c r="B46" s="7"/>
      <c r="C46" s="7"/>
      <c r="D46" s="7"/>
      <c r="E46" s="7"/>
      <c r="F46" s="7"/>
    </row>
    <row r="47" ht="15.75" customHeight="1">
      <c r="A47" s="7"/>
      <c r="B47" s="7"/>
      <c r="C47" s="7"/>
      <c r="D47" s="7"/>
      <c r="E47" s="7"/>
      <c r="F47" s="7"/>
    </row>
    <row r="48" ht="15.75" customHeight="1">
      <c r="A48" s="7"/>
      <c r="B48" s="7"/>
      <c r="C48" s="7"/>
      <c r="D48" s="7"/>
      <c r="E48" s="7"/>
      <c r="F48" s="7"/>
    </row>
    <row r="49" ht="15.75" customHeight="1">
      <c r="A49" s="7"/>
      <c r="B49" s="7"/>
      <c r="C49" s="7"/>
      <c r="D49" s="7"/>
      <c r="E49" s="7"/>
      <c r="F49" s="7"/>
    </row>
    <row r="50" ht="15.75" customHeight="1">
      <c r="A50" s="7"/>
      <c r="B50" s="7"/>
      <c r="C50" s="7"/>
      <c r="D50" s="7"/>
      <c r="E50" s="7"/>
      <c r="F50" s="7"/>
    </row>
    <row r="51" ht="15.75" customHeight="1">
      <c r="A51" s="7"/>
      <c r="B51" s="7"/>
      <c r="C51" s="7"/>
      <c r="D51" s="7"/>
      <c r="E51" s="7"/>
      <c r="F51" s="7"/>
    </row>
    <row r="52" ht="15.75" customHeight="1">
      <c r="A52" s="7"/>
      <c r="B52" s="7"/>
      <c r="C52" s="7"/>
      <c r="D52" s="7"/>
      <c r="E52" s="7"/>
      <c r="F52" s="7"/>
    </row>
    <row r="53" ht="15.75" customHeight="1">
      <c r="A53" s="7"/>
      <c r="B53" s="7"/>
      <c r="C53" s="7"/>
      <c r="D53" s="7"/>
      <c r="E53" s="7"/>
      <c r="F53" s="7"/>
    </row>
    <row r="54" ht="15.75" customHeight="1">
      <c r="A54" s="7"/>
      <c r="B54" s="7"/>
      <c r="C54" s="7"/>
      <c r="D54" s="7"/>
      <c r="E54" s="7"/>
      <c r="F54" s="7"/>
    </row>
    <row r="55" ht="15.75" customHeight="1">
      <c r="A55" s="7"/>
      <c r="B55" s="7"/>
      <c r="C55" s="7"/>
      <c r="D55" s="7"/>
      <c r="E55" s="7"/>
      <c r="F55" s="7"/>
    </row>
    <row r="56" ht="15.75" customHeight="1">
      <c r="A56" s="7"/>
      <c r="B56" s="7"/>
      <c r="C56" s="7"/>
      <c r="D56" s="7"/>
      <c r="E56" s="7"/>
      <c r="F56" s="7"/>
    </row>
    <row r="57" ht="15.75" customHeight="1">
      <c r="A57" s="7"/>
      <c r="B57" s="7"/>
      <c r="C57" s="7"/>
      <c r="D57" s="7"/>
      <c r="E57" s="7"/>
      <c r="F57" s="7"/>
    </row>
    <row r="58" ht="15.75" customHeight="1">
      <c r="A58" s="7"/>
      <c r="B58" s="7"/>
      <c r="C58" s="7"/>
      <c r="D58" s="7"/>
      <c r="E58" s="7"/>
      <c r="F58" s="7"/>
    </row>
    <row r="59" ht="15.75" customHeight="1">
      <c r="A59" s="7"/>
      <c r="B59" s="7"/>
      <c r="C59" s="7"/>
      <c r="D59" s="7"/>
      <c r="E59" s="7"/>
      <c r="F59" s="7"/>
    </row>
    <row r="60" ht="15.75" customHeight="1">
      <c r="A60" s="7"/>
      <c r="B60" s="7"/>
      <c r="C60" s="7"/>
      <c r="D60" s="7"/>
      <c r="E60" s="7"/>
      <c r="F60" s="7"/>
    </row>
    <row r="61" ht="15.75" customHeight="1">
      <c r="A61" s="7"/>
      <c r="B61" s="7"/>
      <c r="C61" s="7"/>
      <c r="D61" s="7"/>
      <c r="E61" s="7"/>
      <c r="F61" s="7"/>
    </row>
    <row r="62" ht="15.75" customHeight="1">
      <c r="A62" s="7"/>
      <c r="B62" s="7"/>
      <c r="C62" s="7"/>
      <c r="D62" s="7"/>
      <c r="E62" s="7"/>
      <c r="F62" s="7"/>
    </row>
    <row r="63" ht="15.75" customHeight="1">
      <c r="A63" s="7"/>
      <c r="B63" s="7"/>
      <c r="C63" s="7"/>
      <c r="D63" s="7"/>
      <c r="E63" s="7"/>
      <c r="F63" s="7"/>
    </row>
    <row r="64" ht="15.75" customHeight="1">
      <c r="A64" s="7"/>
      <c r="B64" s="7"/>
      <c r="C64" s="7"/>
      <c r="D64" s="7"/>
      <c r="E64" s="7"/>
      <c r="F64" s="7"/>
    </row>
    <row r="65" ht="15.75" customHeight="1">
      <c r="A65" s="7"/>
      <c r="B65" s="7"/>
      <c r="C65" s="7"/>
      <c r="D65" s="7"/>
      <c r="E65" s="7"/>
      <c r="F65" s="7"/>
    </row>
    <row r="66" ht="15.75" customHeight="1">
      <c r="A66" s="7"/>
      <c r="B66" s="7"/>
      <c r="C66" s="7"/>
      <c r="D66" s="7"/>
      <c r="E66" s="7"/>
      <c r="F66" s="7"/>
    </row>
    <row r="67" ht="15.75" customHeight="1">
      <c r="A67" s="7"/>
      <c r="B67" s="7"/>
      <c r="C67" s="7"/>
      <c r="D67" s="7"/>
      <c r="E67" s="7"/>
      <c r="F67" s="7"/>
    </row>
    <row r="68" ht="15.75" customHeight="1">
      <c r="A68" s="7"/>
      <c r="B68" s="7"/>
      <c r="C68" s="7"/>
      <c r="D68" s="7"/>
      <c r="E68" s="7"/>
      <c r="F68" s="7"/>
    </row>
    <row r="69" ht="15.75" customHeight="1">
      <c r="A69" s="7"/>
      <c r="B69" s="7"/>
      <c r="C69" s="7"/>
      <c r="D69" s="7"/>
      <c r="E69" s="7"/>
      <c r="F69" s="7"/>
    </row>
    <row r="70" ht="15.75" customHeight="1">
      <c r="A70" s="7"/>
      <c r="B70" s="7"/>
      <c r="C70" s="7"/>
      <c r="D70" s="7"/>
      <c r="E70" s="7"/>
      <c r="F70" s="7"/>
    </row>
    <row r="71" ht="15.75" customHeight="1">
      <c r="A71" s="7"/>
      <c r="B71" s="7"/>
      <c r="C71" s="7"/>
      <c r="D71" s="7"/>
      <c r="E71" s="7"/>
      <c r="F71" s="7"/>
    </row>
    <row r="72" ht="15.75" customHeight="1">
      <c r="A72" s="7"/>
      <c r="B72" s="7"/>
      <c r="C72" s="7"/>
      <c r="D72" s="7"/>
      <c r="E72" s="7"/>
      <c r="F72" s="7"/>
    </row>
    <row r="73" ht="15.75" customHeight="1">
      <c r="A73" s="7"/>
      <c r="B73" s="7"/>
      <c r="C73" s="7"/>
      <c r="D73" s="7"/>
      <c r="E73" s="7"/>
      <c r="F73" s="7"/>
    </row>
    <row r="74" ht="15.75" customHeight="1">
      <c r="A74" s="7"/>
      <c r="B74" s="7"/>
      <c r="C74" s="7"/>
      <c r="D74" s="7"/>
      <c r="E74" s="7"/>
      <c r="F74" s="7"/>
    </row>
    <row r="75" ht="15.75" customHeight="1">
      <c r="A75" s="7"/>
      <c r="B75" s="7"/>
      <c r="C75" s="7"/>
      <c r="D75" s="7"/>
      <c r="E75" s="7"/>
      <c r="F75" s="7"/>
    </row>
    <row r="76" ht="15.75" customHeight="1">
      <c r="A76" s="7"/>
      <c r="B76" s="7"/>
      <c r="C76" s="7"/>
      <c r="D76" s="7"/>
      <c r="E76" s="7"/>
      <c r="F76" s="7"/>
    </row>
    <row r="77" ht="15.75" customHeight="1">
      <c r="A77" s="7"/>
      <c r="B77" s="7"/>
      <c r="C77" s="7"/>
      <c r="D77" s="7"/>
      <c r="E77" s="7"/>
      <c r="F77" s="7"/>
    </row>
    <row r="78" ht="15.75" customHeight="1">
      <c r="A78" s="7"/>
      <c r="B78" s="7"/>
      <c r="C78" s="7"/>
      <c r="D78" s="7"/>
      <c r="E78" s="7"/>
      <c r="F78" s="7"/>
    </row>
    <row r="79" ht="15.75" customHeight="1">
      <c r="A79" s="7"/>
      <c r="B79" s="7"/>
      <c r="C79" s="7"/>
      <c r="D79" s="7"/>
      <c r="E79" s="7"/>
      <c r="F79" s="7"/>
    </row>
    <row r="80" ht="15.75" customHeight="1">
      <c r="A80" s="7"/>
      <c r="B80" s="7"/>
      <c r="C80" s="7"/>
      <c r="D80" s="7"/>
      <c r="E80" s="7"/>
      <c r="F80" s="7"/>
    </row>
    <row r="81" ht="15.75" customHeight="1">
      <c r="A81" s="7"/>
      <c r="B81" s="7"/>
      <c r="C81" s="7"/>
      <c r="D81" s="7"/>
      <c r="E81" s="7"/>
      <c r="F81" s="7"/>
    </row>
    <row r="82" ht="15.75" customHeight="1">
      <c r="A82" s="7"/>
      <c r="B82" s="7"/>
      <c r="C82" s="7"/>
      <c r="D82" s="7"/>
      <c r="E82" s="7"/>
      <c r="F82" s="7"/>
    </row>
    <row r="83" ht="15.75" customHeight="1">
      <c r="A83" s="7"/>
      <c r="B83" s="7"/>
      <c r="C83" s="7"/>
      <c r="D83" s="7"/>
      <c r="E83" s="7"/>
      <c r="F83" s="7"/>
    </row>
    <row r="84" ht="15.75" customHeight="1">
      <c r="A84" s="7"/>
      <c r="B84" s="7"/>
      <c r="C84" s="7"/>
      <c r="D84" s="7"/>
      <c r="E84" s="7"/>
      <c r="F84" s="7"/>
    </row>
    <row r="85" ht="15.75" customHeight="1">
      <c r="A85" s="7"/>
      <c r="B85" s="7"/>
      <c r="C85" s="7"/>
      <c r="D85" s="7"/>
      <c r="E85" s="7"/>
      <c r="F85" s="7"/>
    </row>
    <row r="86" ht="15.75" customHeight="1">
      <c r="A86" s="7"/>
      <c r="B86" s="7"/>
      <c r="C86" s="7"/>
      <c r="D86" s="7"/>
      <c r="E86" s="7"/>
      <c r="F86" s="7"/>
    </row>
    <row r="87" ht="15.75" customHeight="1">
      <c r="A87" s="7"/>
      <c r="B87" s="7"/>
      <c r="C87" s="7"/>
      <c r="D87" s="7"/>
      <c r="E87" s="7"/>
      <c r="F87" s="7"/>
    </row>
    <row r="88" ht="15.75" customHeight="1">
      <c r="A88" s="7"/>
      <c r="B88" s="7"/>
      <c r="C88" s="7"/>
      <c r="D88" s="7"/>
      <c r="E88" s="7"/>
      <c r="F88" s="7"/>
    </row>
    <row r="89" ht="15.75" customHeight="1">
      <c r="A89" s="7"/>
      <c r="B89" s="7"/>
      <c r="C89" s="7"/>
      <c r="D89" s="7"/>
      <c r="E89" s="7"/>
      <c r="F89" s="7"/>
    </row>
    <row r="90" ht="15.75" customHeight="1">
      <c r="A90" s="7"/>
      <c r="B90" s="7"/>
      <c r="C90" s="7"/>
      <c r="D90" s="7"/>
      <c r="E90" s="7"/>
      <c r="F90" s="7"/>
    </row>
    <row r="91" ht="15.75" customHeight="1">
      <c r="A91" s="7"/>
      <c r="B91" s="7"/>
      <c r="C91" s="7"/>
      <c r="D91" s="7"/>
      <c r="E91" s="7"/>
      <c r="F91" s="7"/>
    </row>
    <row r="92" ht="15.75" customHeight="1">
      <c r="A92" s="7"/>
      <c r="B92" s="7"/>
      <c r="C92" s="7"/>
      <c r="D92" s="7"/>
      <c r="E92" s="7"/>
      <c r="F92" s="7"/>
    </row>
    <row r="93" ht="15.75" customHeight="1">
      <c r="A93" s="7"/>
      <c r="B93" s="7"/>
      <c r="C93" s="7"/>
      <c r="D93" s="7"/>
      <c r="E93" s="7"/>
      <c r="F93" s="7"/>
    </row>
    <row r="94" ht="15.75" customHeight="1">
      <c r="A94" s="7"/>
      <c r="B94" s="7"/>
      <c r="C94" s="7"/>
      <c r="D94" s="7"/>
      <c r="E94" s="7"/>
      <c r="F94" s="7"/>
    </row>
    <row r="95" ht="15.75" customHeight="1">
      <c r="A95" s="7"/>
      <c r="B95" s="7"/>
      <c r="C95" s="7"/>
      <c r="D95" s="7"/>
      <c r="E95" s="7"/>
      <c r="F95" s="7"/>
    </row>
    <row r="96" ht="15.75" customHeight="1">
      <c r="A96" s="7"/>
      <c r="B96" s="7"/>
      <c r="C96" s="7"/>
      <c r="D96" s="7"/>
      <c r="E96" s="7"/>
      <c r="F96" s="7"/>
    </row>
    <row r="97" ht="15.75" customHeight="1">
      <c r="A97" s="7"/>
      <c r="B97" s="7"/>
      <c r="C97" s="7"/>
      <c r="D97" s="7"/>
      <c r="E97" s="7"/>
      <c r="F97" s="7"/>
    </row>
    <row r="98" ht="15.75" customHeight="1">
      <c r="A98" s="7"/>
      <c r="B98" s="7"/>
      <c r="C98" s="7"/>
      <c r="D98" s="7"/>
      <c r="E98" s="7"/>
      <c r="F98" s="7"/>
    </row>
    <row r="99" ht="15.75" customHeight="1">
      <c r="A99" s="7"/>
      <c r="B99" s="7"/>
      <c r="C99" s="7"/>
      <c r="D99" s="7"/>
      <c r="E99" s="7"/>
      <c r="F99" s="7"/>
    </row>
    <row r="100" ht="15.75" customHeight="1">
      <c r="A100" s="7"/>
      <c r="B100" s="7"/>
      <c r="C100" s="7"/>
      <c r="D100" s="7"/>
      <c r="E100" s="7"/>
      <c r="F100" s="7"/>
    </row>
    <row r="101" ht="15.75" customHeight="1">
      <c r="A101" s="7"/>
      <c r="B101" s="7"/>
      <c r="C101" s="7"/>
      <c r="D101" s="7"/>
      <c r="E101" s="7"/>
      <c r="F101" s="7"/>
    </row>
    <row r="102" ht="15.75" customHeight="1">
      <c r="A102" s="7"/>
      <c r="B102" s="7"/>
      <c r="C102" s="7"/>
      <c r="D102" s="7"/>
      <c r="E102" s="7"/>
      <c r="F102" s="7"/>
    </row>
    <row r="103" ht="15.75" customHeight="1">
      <c r="A103" s="7"/>
      <c r="B103" s="7"/>
      <c r="C103" s="7"/>
      <c r="D103" s="7"/>
      <c r="E103" s="7"/>
      <c r="F103" s="7"/>
    </row>
    <row r="104" ht="15.75" customHeight="1">
      <c r="A104" s="7"/>
      <c r="B104" s="7"/>
      <c r="C104" s="7"/>
      <c r="D104" s="7"/>
      <c r="E104" s="7"/>
      <c r="F104" s="7"/>
    </row>
    <row r="105" ht="15.75" customHeight="1">
      <c r="A105" s="7"/>
      <c r="B105" s="7"/>
      <c r="C105" s="7"/>
      <c r="D105" s="7"/>
      <c r="E105" s="7"/>
      <c r="F105" s="7"/>
    </row>
    <row r="106" ht="15.75" customHeight="1">
      <c r="A106" s="7"/>
      <c r="B106" s="7"/>
      <c r="C106" s="7"/>
      <c r="D106" s="7"/>
      <c r="E106" s="7"/>
      <c r="F106" s="7"/>
    </row>
    <row r="107" ht="15.75" customHeight="1">
      <c r="A107" s="7"/>
      <c r="B107" s="7"/>
      <c r="C107" s="7"/>
      <c r="D107" s="7"/>
      <c r="E107" s="7"/>
      <c r="F107" s="7"/>
    </row>
    <row r="108" ht="15.75" customHeight="1">
      <c r="A108" s="7"/>
      <c r="B108" s="7"/>
      <c r="C108" s="7"/>
      <c r="D108" s="7"/>
      <c r="E108" s="7"/>
      <c r="F108" s="7"/>
    </row>
    <row r="109" ht="15.75" customHeight="1">
      <c r="A109" s="7"/>
      <c r="B109" s="7"/>
      <c r="C109" s="7"/>
      <c r="D109" s="7"/>
      <c r="E109" s="7"/>
      <c r="F109" s="7"/>
    </row>
    <row r="110" ht="15.75" customHeight="1">
      <c r="A110" s="7"/>
      <c r="B110" s="7"/>
      <c r="C110" s="7"/>
      <c r="D110" s="7"/>
      <c r="E110" s="7"/>
      <c r="F110" s="7"/>
    </row>
    <row r="111" ht="15.75" customHeight="1">
      <c r="A111" s="7"/>
      <c r="B111" s="7"/>
      <c r="C111" s="7"/>
      <c r="D111" s="7"/>
      <c r="E111" s="7"/>
      <c r="F111" s="7"/>
    </row>
    <row r="112" ht="15.75" customHeight="1">
      <c r="A112" s="7"/>
      <c r="B112" s="7"/>
      <c r="C112" s="7"/>
      <c r="D112" s="7"/>
      <c r="E112" s="7"/>
      <c r="F112" s="7"/>
    </row>
    <row r="113" ht="15.75" customHeight="1">
      <c r="A113" s="7"/>
      <c r="B113" s="7"/>
      <c r="C113" s="7"/>
      <c r="D113" s="7"/>
      <c r="E113" s="7"/>
      <c r="F113" s="7"/>
    </row>
    <row r="114" ht="15.75" customHeight="1">
      <c r="A114" s="7"/>
      <c r="B114" s="7"/>
      <c r="C114" s="7"/>
      <c r="D114" s="7"/>
      <c r="E114" s="7"/>
      <c r="F114" s="7"/>
    </row>
    <row r="115" ht="15.75" customHeight="1">
      <c r="A115" s="7"/>
      <c r="B115" s="7"/>
      <c r="C115" s="7"/>
      <c r="D115" s="7"/>
      <c r="E115" s="7"/>
      <c r="F115" s="7"/>
    </row>
    <row r="116" ht="15.75" customHeight="1">
      <c r="A116" s="7"/>
      <c r="B116" s="7"/>
      <c r="C116" s="7"/>
      <c r="D116" s="7"/>
      <c r="E116" s="7"/>
      <c r="F116" s="7"/>
    </row>
    <row r="117" ht="15.75" customHeight="1">
      <c r="A117" s="7"/>
      <c r="B117" s="7"/>
      <c r="C117" s="7"/>
      <c r="D117" s="7"/>
      <c r="E117" s="7"/>
      <c r="F117" s="7"/>
    </row>
    <row r="118" ht="15.75" customHeight="1">
      <c r="A118" s="7"/>
      <c r="B118" s="7"/>
      <c r="C118" s="7"/>
      <c r="D118" s="7"/>
      <c r="E118" s="7"/>
      <c r="F118" s="7"/>
    </row>
    <row r="119" ht="15.75" customHeight="1">
      <c r="A119" s="7"/>
      <c r="B119" s="7"/>
      <c r="C119" s="7"/>
      <c r="D119" s="7"/>
      <c r="E119" s="7"/>
      <c r="F119" s="7"/>
    </row>
    <row r="120" ht="15.75" customHeight="1">
      <c r="A120" s="7"/>
      <c r="B120" s="7"/>
      <c r="C120" s="7"/>
      <c r="D120" s="7"/>
      <c r="E120" s="7"/>
      <c r="F120" s="7"/>
    </row>
    <row r="121" ht="15.75" customHeight="1">
      <c r="A121" s="7"/>
      <c r="B121" s="7"/>
      <c r="C121" s="7"/>
      <c r="D121" s="7"/>
      <c r="E121" s="7"/>
      <c r="F121" s="7"/>
    </row>
    <row r="122" ht="15.75" customHeight="1">
      <c r="A122" s="7"/>
      <c r="B122" s="7"/>
      <c r="C122" s="7"/>
      <c r="D122" s="7"/>
      <c r="E122" s="7"/>
      <c r="F122" s="7"/>
    </row>
    <row r="123" ht="15.75" customHeight="1">
      <c r="A123" s="7"/>
      <c r="B123" s="7"/>
      <c r="C123" s="7"/>
      <c r="D123" s="7"/>
      <c r="E123" s="7"/>
      <c r="F123" s="7"/>
    </row>
    <row r="124" ht="15.75" customHeight="1">
      <c r="A124" s="7"/>
      <c r="B124" s="7"/>
      <c r="C124" s="7"/>
      <c r="D124" s="7"/>
      <c r="E124" s="7"/>
      <c r="F124" s="7"/>
    </row>
    <row r="125" ht="15.75" customHeight="1">
      <c r="A125" s="7"/>
      <c r="B125" s="7"/>
      <c r="C125" s="7"/>
      <c r="D125" s="7"/>
      <c r="E125" s="7"/>
      <c r="F125" s="7"/>
    </row>
    <row r="126" ht="15.75" customHeight="1">
      <c r="A126" s="7"/>
      <c r="B126" s="7"/>
      <c r="C126" s="7"/>
      <c r="D126" s="7"/>
      <c r="E126" s="7"/>
      <c r="F126" s="7"/>
    </row>
    <row r="127" ht="15.75" customHeight="1">
      <c r="A127" s="7"/>
      <c r="B127" s="7"/>
      <c r="C127" s="7"/>
      <c r="D127" s="7"/>
      <c r="E127" s="7"/>
      <c r="F127" s="7"/>
    </row>
    <row r="128" ht="15.75" customHeight="1">
      <c r="A128" s="7"/>
      <c r="B128" s="7"/>
      <c r="C128" s="7"/>
      <c r="D128" s="7"/>
      <c r="E128" s="7"/>
      <c r="F128" s="7"/>
    </row>
    <row r="129" ht="15.75" customHeight="1">
      <c r="A129" s="7"/>
      <c r="B129" s="7"/>
      <c r="C129" s="7"/>
      <c r="D129" s="7"/>
      <c r="E129" s="7"/>
      <c r="F129" s="7"/>
    </row>
    <row r="130" ht="15.75" customHeight="1">
      <c r="A130" s="7"/>
      <c r="B130" s="7"/>
      <c r="C130" s="7"/>
      <c r="D130" s="7"/>
      <c r="E130" s="7"/>
      <c r="F130" s="7"/>
    </row>
    <row r="131" ht="15.75" customHeight="1">
      <c r="A131" s="7"/>
      <c r="B131" s="7"/>
      <c r="C131" s="7"/>
      <c r="D131" s="7"/>
      <c r="E131" s="7"/>
      <c r="F131" s="7"/>
    </row>
    <row r="132" ht="15.75" customHeight="1">
      <c r="A132" s="7"/>
      <c r="B132" s="7"/>
      <c r="C132" s="7"/>
      <c r="D132" s="7"/>
      <c r="E132" s="7"/>
      <c r="F132" s="7"/>
    </row>
    <row r="133" ht="15.75" customHeight="1">
      <c r="A133" s="7"/>
      <c r="B133" s="7"/>
      <c r="C133" s="7"/>
      <c r="D133" s="7"/>
      <c r="E133" s="7"/>
      <c r="F133" s="7"/>
    </row>
    <row r="134" ht="15.75" customHeight="1">
      <c r="A134" s="7"/>
      <c r="B134" s="7"/>
      <c r="C134" s="7"/>
      <c r="D134" s="7"/>
      <c r="E134" s="7"/>
      <c r="F134" s="7"/>
    </row>
    <row r="135" ht="15.75" customHeight="1">
      <c r="A135" s="7"/>
      <c r="B135" s="7"/>
      <c r="C135" s="7"/>
      <c r="D135" s="7"/>
      <c r="E135" s="7"/>
      <c r="F135" s="7"/>
    </row>
    <row r="136" ht="15.75" customHeight="1">
      <c r="A136" s="7"/>
      <c r="B136" s="7"/>
      <c r="C136" s="7"/>
      <c r="D136" s="7"/>
      <c r="E136" s="7"/>
      <c r="F136" s="7"/>
    </row>
    <row r="137" ht="15.75" customHeight="1">
      <c r="A137" s="7"/>
      <c r="B137" s="7"/>
      <c r="C137" s="7"/>
      <c r="D137" s="7"/>
      <c r="E137" s="7"/>
      <c r="F137" s="7"/>
    </row>
    <row r="138" ht="15.75" customHeight="1">
      <c r="A138" s="7"/>
      <c r="B138" s="7"/>
      <c r="C138" s="7"/>
      <c r="D138" s="7"/>
      <c r="E138" s="7"/>
      <c r="F138" s="7"/>
    </row>
    <row r="139" ht="15.75" customHeight="1">
      <c r="A139" s="7"/>
      <c r="B139" s="7"/>
      <c r="C139" s="7"/>
      <c r="D139" s="7"/>
      <c r="E139" s="7"/>
      <c r="F139" s="7"/>
    </row>
    <row r="140" ht="15.75" customHeight="1">
      <c r="A140" s="7"/>
      <c r="B140" s="7"/>
      <c r="C140" s="7"/>
      <c r="D140" s="7"/>
      <c r="E140" s="7"/>
      <c r="F140" s="7"/>
    </row>
    <row r="141" ht="15.75" customHeight="1">
      <c r="A141" s="7"/>
      <c r="B141" s="7"/>
      <c r="C141" s="7"/>
      <c r="D141" s="7"/>
      <c r="E141" s="7"/>
      <c r="F141" s="7"/>
    </row>
    <row r="142" ht="15.75" customHeight="1">
      <c r="A142" s="7"/>
      <c r="B142" s="7"/>
      <c r="C142" s="7"/>
      <c r="D142" s="7"/>
      <c r="E142" s="7"/>
      <c r="F142" s="7"/>
    </row>
    <row r="143" ht="15.75" customHeight="1">
      <c r="A143" s="7"/>
      <c r="B143" s="7"/>
      <c r="C143" s="7"/>
      <c r="D143" s="7"/>
      <c r="E143" s="7"/>
      <c r="F143" s="7"/>
    </row>
    <row r="144" ht="15.75" customHeight="1">
      <c r="A144" s="7"/>
      <c r="B144" s="7"/>
      <c r="C144" s="7"/>
      <c r="D144" s="7"/>
      <c r="E144" s="7"/>
      <c r="F144" s="7"/>
    </row>
    <row r="145" ht="15.75" customHeight="1">
      <c r="A145" s="7"/>
      <c r="B145" s="7"/>
      <c r="C145" s="7"/>
      <c r="D145" s="7"/>
      <c r="E145" s="7"/>
      <c r="F145" s="7"/>
    </row>
    <row r="146" ht="15.75" customHeight="1">
      <c r="A146" s="7"/>
      <c r="B146" s="7"/>
      <c r="C146" s="7"/>
      <c r="D146" s="7"/>
      <c r="E146" s="7"/>
      <c r="F146" s="7"/>
    </row>
    <row r="147" ht="15.75" customHeight="1">
      <c r="A147" s="7"/>
      <c r="B147" s="7"/>
      <c r="C147" s="7"/>
      <c r="D147" s="7"/>
      <c r="E147" s="7"/>
      <c r="F147" s="7"/>
    </row>
    <row r="148" ht="15.75" customHeight="1">
      <c r="A148" s="7"/>
      <c r="B148" s="7"/>
      <c r="C148" s="7"/>
      <c r="D148" s="7"/>
      <c r="E148" s="7"/>
      <c r="F148" s="7"/>
    </row>
    <row r="149" ht="15.75" customHeight="1">
      <c r="A149" s="7"/>
      <c r="B149" s="7"/>
      <c r="C149" s="7"/>
      <c r="D149" s="7"/>
      <c r="E149" s="7"/>
      <c r="F149" s="7"/>
    </row>
    <row r="150" ht="15.75" customHeight="1">
      <c r="A150" s="7"/>
      <c r="B150" s="7"/>
      <c r="C150" s="7"/>
      <c r="D150" s="7"/>
      <c r="E150" s="7"/>
      <c r="F150" s="7"/>
    </row>
    <row r="151" ht="15.75" customHeight="1">
      <c r="A151" s="7"/>
      <c r="B151" s="7"/>
      <c r="C151" s="7"/>
      <c r="D151" s="7"/>
      <c r="E151" s="7"/>
      <c r="F151" s="7"/>
    </row>
    <row r="152" ht="15.75" customHeight="1">
      <c r="A152" s="7"/>
      <c r="B152" s="7"/>
      <c r="C152" s="7"/>
      <c r="D152" s="7"/>
      <c r="E152" s="7"/>
      <c r="F152" s="7"/>
    </row>
    <row r="153" ht="15.75" customHeight="1">
      <c r="A153" s="7"/>
      <c r="B153" s="7"/>
      <c r="C153" s="7"/>
      <c r="D153" s="7"/>
      <c r="E153" s="7"/>
      <c r="F153" s="7"/>
    </row>
    <row r="154" ht="15.75" customHeight="1">
      <c r="A154" s="7"/>
      <c r="B154" s="7"/>
      <c r="C154" s="7"/>
      <c r="D154" s="7"/>
      <c r="E154" s="7"/>
      <c r="F154" s="7"/>
    </row>
    <row r="155" ht="15.75" customHeight="1">
      <c r="A155" s="7"/>
      <c r="B155" s="7"/>
      <c r="C155" s="7"/>
      <c r="D155" s="7"/>
      <c r="E155" s="7"/>
      <c r="F155" s="7"/>
    </row>
    <row r="156" ht="15.75" customHeight="1">
      <c r="A156" s="7"/>
      <c r="B156" s="7"/>
      <c r="C156" s="7"/>
      <c r="D156" s="7"/>
      <c r="E156" s="7"/>
      <c r="F156" s="7"/>
    </row>
    <row r="157" ht="15.75" customHeight="1">
      <c r="A157" s="7"/>
      <c r="B157" s="7"/>
      <c r="C157" s="7"/>
      <c r="D157" s="7"/>
      <c r="E157" s="7"/>
      <c r="F157" s="7"/>
    </row>
    <row r="158" ht="15.75" customHeight="1">
      <c r="A158" s="7"/>
      <c r="B158" s="7"/>
      <c r="C158" s="7"/>
      <c r="D158" s="7"/>
      <c r="E158" s="7"/>
      <c r="F158" s="7"/>
    </row>
    <row r="159" ht="15.75" customHeight="1">
      <c r="A159" s="7"/>
      <c r="B159" s="7"/>
      <c r="C159" s="7"/>
      <c r="D159" s="7"/>
      <c r="E159" s="7"/>
      <c r="F159" s="7"/>
    </row>
    <row r="160" ht="15.75" customHeight="1">
      <c r="A160" s="7"/>
      <c r="B160" s="7"/>
      <c r="C160" s="7"/>
      <c r="D160" s="7"/>
      <c r="E160" s="7"/>
      <c r="F160" s="7"/>
    </row>
    <row r="161" ht="15.75" customHeight="1">
      <c r="A161" s="7"/>
      <c r="B161" s="7"/>
      <c r="C161" s="7"/>
      <c r="D161" s="7"/>
      <c r="E161" s="7"/>
      <c r="F161" s="7"/>
    </row>
    <row r="162" ht="15.75" customHeight="1">
      <c r="A162" s="7"/>
      <c r="B162" s="7"/>
      <c r="C162" s="7"/>
      <c r="D162" s="7"/>
      <c r="E162" s="7"/>
      <c r="F162" s="7"/>
    </row>
    <row r="163" ht="15.75" customHeight="1">
      <c r="A163" s="7"/>
      <c r="B163" s="7"/>
      <c r="C163" s="7"/>
      <c r="D163" s="7"/>
      <c r="E163" s="7"/>
      <c r="F163" s="7"/>
    </row>
    <row r="164" ht="15.75" customHeight="1">
      <c r="A164" s="7"/>
      <c r="B164" s="7"/>
      <c r="C164" s="7"/>
      <c r="D164" s="7"/>
      <c r="E164" s="7"/>
      <c r="F164" s="7"/>
    </row>
    <row r="165" ht="15.75" customHeight="1">
      <c r="A165" s="7"/>
      <c r="B165" s="7"/>
      <c r="C165" s="7"/>
      <c r="D165" s="7"/>
      <c r="E165" s="7"/>
      <c r="F165" s="7"/>
    </row>
    <row r="166" ht="15.75" customHeight="1">
      <c r="A166" s="7"/>
      <c r="B166" s="7"/>
      <c r="C166" s="7"/>
      <c r="D166" s="7"/>
      <c r="E166" s="7"/>
      <c r="F166" s="7"/>
    </row>
    <row r="167" ht="15.75" customHeight="1">
      <c r="A167" s="7"/>
      <c r="B167" s="7"/>
      <c r="C167" s="7"/>
      <c r="D167" s="7"/>
      <c r="E167" s="7"/>
      <c r="F167" s="7"/>
    </row>
    <row r="168" ht="15.75" customHeight="1">
      <c r="A168" s="7"/>
      <c r="B168" s="7"/>
      <c r="C168" s="7"/>
      <c r="D168" s="7"/>
      <c r="E168" s="7"/>
      <c r="F168" s="7"/>
    </row>
    <row r="169" ht="15.75" customHeight="1">
      <c r="A169" s="7"/>
      <c r="B169" s="7"/>
      <c r="C169" s="7"/>
      <c r="D169" s="7"/>
      <c r="E169" s="7"/>
      <c r="F169" s="7"/>
    </row>
    <row r="170" ht="15.75" customHeight="1">
      <c r="A170" s="7"/>
      <c r="B170" s="7"/>
      <c r="C170" s="7"/>
      <c r="D170" s="7"/>
      <c r="E170" s="7"/>
      <c r="F170" s="7"/>
    </row>
    <row r="171" ht="15.75" customHeight="1">
      <c r="A171" s="7"/>
      <c r="B171" s="7"/>
      <c r="C171" s="7"/>
      <c r="D171" s="7"/>
      <c r="E171" s="7"/>
      <c r="F171" s="7"/>
    </row>
    <row r="172" ht="15.75" customHeight="1">
      <c r="A172" s="7"/>
      <c r="B172" s="7"/>
      <c r="C172" s="7"/>
      <c r="D172" s="7"/>
      <c r="E172" s="7"/>
      <c r="F172" s="7"/>
    </row>
    <row r="173" ht="15.75" customHeight="1">
      <c r="A173" s="7"/>
      <c r="B173" s="7"/>
      <c r="C173" s="7"/>
      <c r="D173" s="7"/>
      <c r="E173" s="7"/>
      <c r="F173" s="7"/>
    </row>
    <row r="174" ht="15.75" customHeight="1">
      <c r="A174" s="7"/>
      <c r="B174" s="7"/>
      <c r="C174" s="7"/>
      <c r="D174" s="7"/>
      <c r="E174" s="7"/>
      <c r="F174" s="7"/>
    </row>
    <row r="175" ht="15.75" customHeight="1">
      <c r="A175" s="7"/>
      <c r="B175" s="7"/>
      <c r="C175" s="7"/>
      <c r="D175" s="7"/>
      <c r="E175" s="7"/>
      <c r="F175" s="7"/>
    </row>
    <row r="176" ht="15.75" customHeight="1">
      <c r="A176" s="7"/>
      <c r="B176" s="7"/>
      <c r="C176" s="7"/>
      <c r="D176" s="7"/>
      <c r="E176" s="7"/>
      <c r="F176" s="7"/>
    </row>
    <row r="177" ht="15.75" customHeight="1">
      <c r="A177" s="7"/>
      <c r="B177" s="7"/>
      <c r="C177" s="7"/>
      <c r="D177" s="7"/>
      <c r="E177" s="7"/>
      <c r="F177" s="7"/>
    </row>
    <row r="178" ht="15.75" customHeight="1">
      <c r="A178" s="7"/>
      <c r="B178" s="7"/>
      <c r="C178" s="7"/>
      <c r="D178" s="7"/>
      <c r="E178" s="7"/>
      <c r="F178" s="7"/>
    </row>
    <row r="179" ht="15.75" customHeight="1">
      <c r="A179" s="7"/>
      <c r="B179" s="7"/>
      <c r="C179" s="7"/>
      <c r="D179" s="7"/>
      <c r="E179" s="7"/>
      <c r="F179" s="7"/>
    </row>
    <row r="180" ht="15.75" customHeight="1">
      <c r="A180" s="7"/>
      <c r="B180" s="7"/>
      <c r="C180" s="7"/>
      <c r="D180" s="7"/>
      <c r="E180" s="7"/>
      <c r="F180" s="7"/>
    </row>
    <row r="181" ht="15.75" customHeight="1">
      <c r="A181" s="7"/>
      <c r="B181" s="7"/>
      <c r="C181" s="7"/>
      <c r="D181" s="7"/>
      <c r="E181" s="7"/>
      <c r="F181" s="7"/>
    </row>
    <row r="182" ht="15.75" customHeight="1">
      <c r="A182" s="7"/>
      <c r="B182" s="7"/>
      <c r="C182" s="7"/>
      <c r="D182" s="7"/>
      <c r="E182" s="7"/>
      <c r="F182" s="7"/>
    </row>
    <row r="183" ht="15.75" customHeight="1">
      <c r="A183" s="7"/>
      <c r="B183" s="7"/>
      <c r="C183" s="7"/>
      <c r="D183" s="7"/>
      <c r="E183" s="7"/>
      <c r="F183" s="7"/>
    </row>
    <row r="184" ht="15.75" customHeight="1">
      <c r="A184" s="7"/>
      <c r="B184" s="7"/>
      <c r="C184" s="7"/>
      <c r="D184" s="7"/>
      <c r="E184" s="7"/>
      <c r="F184" s="7"/>
    </row>
    <row r="185" ht="15.75" customHeight="1">
      <c r="A185" s="7"/>
      <c r="B185" s="7"/>
      <c r="C185" s="7"/>
      <c r="D185" s="7"/>
      <c r="E185" s="7"/>
      <c r="F185" s="7"/>
    </row>
    <row r="186" ht="15.75" customHeight="1">
      <c r="A186" s="7"/>
      <c r="B186" s="7"/>
      <c r="C186" s="7"/>
      <c r="D186" s="7"/>
      <c r="E186" s="7"/>
      <c r="F186" s="7"/>
    </row>
    <row r="187" ht="15.75" customHeight="1">
      <c r="A187" s="7"/>
      <c r="B187" s="7"/>
      <c r="C187" s="7"/>
      <c r="D187" s="7"/>
      <c r="E187" s="7"/>
      <c r="F187" s="7"/>
    </row>
    <row r="188" ht="15.75" customHeight="1">
      <c r="A188" s="7"/>
      <c r="B188" s="7"/>
      <c r="C188" s="7"/>
      <c r="D188" s="7"/>
      <c r="E188" s="7"/>
      <c r="F188" s="7"/>
    </row>
    <row r="189" ht="15.75" customHeight="1">
      <c r="A189" s="7"/>
      <c r="B189" s="7"/>
      <c r="C189" s="7"/>
      <c r="D189" s="7"/>
      <c r="E189" s="7"/>
      <c r="F189" s="7"/>
    </row>
    <row r="190" ht="15.75" customHeight="1">
      <c r="A190" s="7"/>
      <c r="B190" s="7"/>
      <c r="C190" s="7"/>
      <c r="D190" s="7"/>
      <c r="E190" s="7"/>
      <c r="F190" s="7"/>
    </row>
    <row r="191" ht="15.75" customHeight="1">
      <c r="A191" s="7"/>
      <c r="B191" s="7"/>
      <c r="C191" s="7"/>
      <c r="D191" s="7"/>
      <c r="E191" s="7"/>
      <c r="F191" s="7"/>
    </row>
    <row r="192" ht="15.75" customHeight="1">
      <c r="A192" s="7"/>
      <c r="B192" s="7"/>
      <c r="C192" s="7"/>
      <c r="D192" s="7"/>
      <c r="E192" s="7"/>
      <c r="F192" s="7"/>
    </row>
    <row r="193" ht="15.75" customHeight="1">
      <c r="A193" s="7"/>
      <c r="B193" s="7"/>
      <c r="C193" s="7"/>
      <c r="D193" s="7"/>
      <c r="E193" s="7"/>
      <c r="F193" s="7"/>
    </row>
    <row r="194" ht="15.75" customHeight="1">
      <c r="A194" s="7"/>
      <c r="B194" s="7"/>
      <c r="C194" s="7"/>
      <c r="D194" s="7"/>
      <c r="E194" s="7"/>
      <c r="F194" s="7"/>
    </row>
    <row r="195" ht="15.75" customHeight="1">
      <c r="A195" s="7"/>
      <c r="B195" s="7"/>
      <c r="C195" s="7"/>
      <c r="D195" s="7"/>
      <c r="E195" s="7"/>
      <c r="F195" s="7"/>
    </row>
    <row r="196" ht="15.75" customHeight="1">
      <c r="A196" s="7"/>
      <c r="B196" s="7"/>
      <c r="C196" s="7"/>
      <c r="D196" s="7"/>
      <c r="E196" s="7"/>
      <c r="F196" s="7"/>
    </row>
    <row r="197" ht="15.75" customHeight="1">
      <c r="A197" s="7"/>
      <c r="B197" s="7"/>
      <c r="C197" s="7"/>
      <c r="D197" s="7"/>
      <c r="E197" s="7"/>
      <c r="F197" s="7"/>
    </row>
    <row r="198" ht="15.75" customHeight="1">
      <c r="A198" s="7"/>
      <c r="B198" s="7"/>
      <c r="C198" s="7"/>
      <c r="D198" s="7"/>
      <c r="E198" s="7"/>
      <c r="F198" s="7"/>
    </row>
    <row r="199" ht="15.75" customHeight="1">
      <c r="A199" s="7"/>
      <c r="B199" s="7"/>
      <c r="C199" s="7"/>
      <c r="D199" s="7"/>
      <c r="E199" s="7"/>
      <c r="F199" s="7"/>
    </row>
    <row r="200" ht="15.75" customHeight="1">
      <c r="A200" s="7"/>
      <c r="B200" s="7"/>
      <c r="C200" s="7"/>
      <c r="D200" s="7"/>
      <c r="E200" s="7"/>
      <c r="F200" s="7"/>
    </row>
    <row r="201" ht="15.75" customHeight="1">
      <c r="A201" s="7"/>
      <c r="B201" s="7"/>
      <c r="C201" s="7"/>
      <c r="D201" s="7"/>
      <c r="E201" s="7"/>
      <c r="F201" s="7"/>
    </row>
    <row r="202" ht="15.75" customHeight="1">
      <c r="A202" s="7"/>
      <c r="B202" s="7"/>
      <c r="C202" s="7"/>
      <c r="D202" s="7"/>
      <c r="E202" s="7"/>
      <c r="F202" s="7"/>
    </row>
    <row r="203" ht="15.75" customHeight="1">
      <c r="A203" s="7"/>
      <c r="B203" s="7"/>
      <c r="C203" s="7"/>
      <c r="D203" s="7"/>
      <c r="E203" s="7"/>
      <c r="F203" s="7"/>
    </row>
    <row r="204" ht="15.75" customHeight="1">
      <c r="A204" s="7"/>
      <c r="B204" s="7"/>
      <c r="C204" s="7"/>
      <c r="D204" s="7"/>
      <c r="E204" s="7"/>
      <c r="F204" s="7"/>
    </row>
    <row r="205" ht="15.75" customHeight="1">
      <c r="A205" s="7"/>
      <c r="B205" s="7"/>
      <c r="C205" s="7"/>
      <c r="D205" s="7"/>
      <c r="E205" s="7"/>
      <c r="F205" s="7"/>
    </row>
    <row r="206" ht="15.75" customHeight="1">
      <c r="A206" s="7"/>
      <c r="B206" s="7"/>
      <c r="C206" s="7"/>
      <c r="D206" s="7"/>
      <c r="E206" s="7"/>
      <c r="F206" s="7"/>
    </row>
    <row r="207" ht="15.75" customHeight="1">
      <c r="A207" s="7"/>
      <c r="B207" s="7"/>
      <c r="C207" s="7"/>
      <c r="D207" s="7"/>
      <c r="E207" s="7"/>
      <c r="F207" s="7"/>
    </row>
    <row r="208" ht="15.75" customHeight="1">
      <c r="A208" s="7"/>
      <c r="B208" s="7"/>
      <c r="C208" s="7"/>
      <c r="D208" s="7"/>
      <c r="E208" s="7"/>
      <c r="F208" s="7"/>
    </row>
    <row r="209" ht="15.75" customHeight="1">
      <c r="A209" s="7"/>
      <c r="B209" s="7"/>
      <c r="C209" s="7"/>
      <c r="D209" s="7"/>
      <c r="E209" s="7"/>
      <c r="F209" s="7"/>
    </row>
    <row r="210" ht="15.75" customHeight="1">
      <c r="A210" s="7"/>
      <c r="B210" s="7"/>
      <c r="C210" s="7"/>
      <c r="D210" s="7"/>
      <c r="E210" s="7"/>
      <c r="F210" s="7"/>
    </row>
    <row r="211" ht="15.75" customHeight="1">
      <c r="A211" s="7"/>
      <c r="B211" s="7"/>
      <c r="C211" s="7"/>
      <c r="D211" s="7"/>
      <c r="E211" s="7"/>
      <c r="F211" s="7"/>
    </row>
    <row r="212" ht="15.75" customHeight="1">
      <c r="A212" s="7"/>
      <c r="B212" s="7"/>
      <c r="C212" s="7"/>
      <c r="D212" s="7"/>
      <c r="E212" s="7"/>
      <c r="F212" s="7"/>
    </row>
    <row r="213" ht="15.75" customHeight="1">
      <c r="A213" s="7"/>
      <c r="B213" s="7"/>
      <c r="C213" s="7"/>
      <c r="D213" s="7"/>
      <c r="E213" s="7"/>
      <c r="F213" s="7"/>
    </row>
    <row r="214" ht="15.75" customHeight="1">
      <c r="A214" s="7"/>
      <c r="B214" s="7"/>
      <c r="C214" s="7"/>
      <c r="D214" s="7"/>
      <c r="E214" s="7"/>
      <c r="F214" s="7"/>
    </row>
    <row r="215" ht="15.75" customHeight="1">
      <c r="A215" s="7"/>
      <c r="B215" s="7"/>
      <c r="C215" s="7"/>
      <c r="D215" s="7"/>
      <c r="E215" s="7"/>
      <c r="F215" s="7"/>
    </row>
    <row r="216" ht="15.75" customHeight="1">
      <c r="A216" s="7"/>
      <c r="B216" s="7"/>
      <c r="C216" s="7"/>
      <c r="D216" s="7"/>
      <c r="E216" s="7"/>
      <c r="F216" s="7"/>
    </row>
    <row r="217" ht="15.75" customHeight="1">
      <c r="A217" s="7"/>
      <c r="B217" s="7"/>
      <c r="C217" s="7"/>
      <c r="D217" s="7"/>
      <c r="E217" s="7"/>
      <c r="F217" s="7"/>
    </row>
    <row r="218" ht="15.75" customHeight="1">
      <c r="A218" s="7"/>
      <c r="B218" s="7"/>
      <c r="C218" s="7"/>
      <c r="D218" s="7"/>
      <c r="E218" s="7"/>
      <c r="F218" s="7"/>
    </row>
    <row r="219" ht="15.75" customHeight="1">
      <c r="A219" s="7"/>
      <c r="B219" s="7"/>
      <c r="C219" s="7"/>
      <c r="D219" s="7"/>
      <c r="E219" s="7"/>
      <c r="F219" s="7"/>
    </row>
    <row r="220" ht="15.75" customHeight="1">
      <c r="A220" s="7"/>
      <c r="B220" s="7"/>
      <c r="C220" s="7"/>
      <c r="D220" s="7"/>
      <c r="E220" s="7"/>
      <c r="F220" s="7"/>
    </row>
    <row r="221" ht="15.75" customHeight="1">
      <c r="A221" s="7"/>
      <c r="B221" s="7"/>
      <c r="C221" s="7"/>
      <c r="D221" s="7"/>
      <c r="E221" s="7"/>
      <c r="F221" s="7"/>
    </row>
    <row r="222" ht="15.75" customHeight="1">
      <c r="A222" s="7"/>
      <c r="B222" s="7"/>
      <c r="C222" s="7"/>
      <c r="D222" s="7"/>
      <c r="E222" s="7"/>
      <c r="F222" s="7"/>
    </row>
    <row r="223" ht="15.75" customHeight="1">
      <c r="A223" s="7"/>
      <c r="B223" s="7"/>
      <c r="C223" s="7"/>
      <c r="D223" s="7"/>
      <c r="E223" s="7"/>
      <c r="F223" s="7"/>
    </row>
    <row r="224" ht="15.75" customHeight="1">
      <c r="A224" s="7"/>
      <c r="B224" s="7"/>
      <c r="C224" s="7"/>
      <c r="D224" s="7"/>
      <c r="E224" s="7"/>
      <c r="F224" s="7"/>
    </row>
    <row r="225" ht="15.75" customHeight="1">
      <c r="A225" s="7"/>
      <c r="B225" s="7"/>
      <c r="C225" s="7"/>
      <c r="D225" s="7"/>
      <c r="E225" s="7"/>
      <c r="F225" s="7"/>
    </row>
    <row r="226" ht="15.75" customHeight="1">
      <c r="A226" s="7"/>
      <c r="B226" s="7"/>
      <c r="C226" s="7"/>
      <c r="D226" s="7"/>
      <c r="E226" s="7"/>
      <c r="F226" s="7"/>
    </row>
    <row r="227" ht="15.75" customHeight="1">
      <c r="A227" s="7"/>
      <c r="B227" s="7"/>
      <c r="C227" s="7"/>
      <c r="D227" s="7"/>
      <c r="E227" s="7"/>
      <c r="F227" s="7"/>
    </row>
    <row r="228" ht="15.75" customHeight="1">
      <c r="A228" s="7"/>
      <c r="B228" s="7"/>
      <c r="C228" s="7"/>
      <c r="D228" s="7"/>
      <c r="E228" s="7"/>
      <c r="F228" s="7"/>
    </row>
    <row r="229" ht="15.75" customHeight="1">
      <c r="A229" s="7"/>
      <c r="B229" s="7"/>
      <c r="C229" s="7"/>
      <c r="D229" s="7"/>
      <c r="E229" s="7"/>
      <c r="F229" s="7"/>
    </row>
    <row r="230" ht="15.75" customHeight="1">
      <c r="A230" s="7"/>
      <c r="B230" s="7"/>
      <c r="C230" s="7"/>
      <c r="D230" s="7"/>
      <c r="E230" s="7"/>
      <c r="F230" s="7"/>
    </row>
    <row r="231" ht="15.75" customHeight="1">
      <c r="A231" s="7"/>
      <c r="B231" s="7"/>
      <c r="C231" s="7"/>
      <c r="D231" s="7"/>
      <c r="E231" s="7"/>
      <c r="F231" s="7"/>
    </row>
    <row r="232" ht="15.75" customHeight="1">
      <c r="A232" s="7"/>
      <c r="B232" s="7"/>
      <c r="C232" s="7"/>
      <c r="D232" s="7"/>
      <c r="E232" s="7"/>
      <c r="F232" s="7"/>
    </row>
    <row r="233" ht="15.75" customHeight="1">
      <c r="A233" s="7"/>
      <c r="B233" s="7"/>
      <c r="C233" s="7"/>
      <c r="D233" s="7"/>
      <c r="E233" s="7"/>
      <c r="F233" s="7"/>
    </row>
    <row r="234" ht="15.75" customHeight="1">
      <c r="A234" s="7"/>
      <c r="B234" s="7"/>
      <c r="C234" s="7"/>
      <c r="D234" s="7"/>
      <c r="E234" s="7"/>
      <c r="F234" s="7"/>
    </row>
    <row r="235" ht="15.75" customHeight="1">
      <c r="A235" s="7"/>
      <c r="B235" s="7"/>
      <c r="C235" s="7"/>
      <c r="D235" s="7"/>
      <c r="E235" s="7"/>
      <c r="F235" s="7"/>
    </row>
    <row r="236" ht="15.75" customHeight="1">
      <c r="A236" s="7"/>
      <c r="B236" s="7"/>
      <c r="C236" s="7"/>
      <c r="D236" s="7"/>
      <c r="E236" s="7"/>
      <c r="F236" s="7"/>
    </row>
    <row r="237" ht="15.75" customHeight="1">
      <c r="A237" s="7"/>
      <c r="B237" s="7"/>
      <c r="C237" s="7"/>
      <c r="D237" s="7"/>
      <c r="E237" s="7"/>
      <c r="F237" s="7"/>
    </row>
    <row r="238" ht="15.75" customHeight="1">
      <c r="A238" s="7"/>
      <c r="B238" s="7"/>
      <c r="C238" s="7"/>
      <c r="D238" s="7"/>
      <c r="E238" s="7"/>
      <c r="F238" s="7"/>
    </row>
    <row r="239" ht="15.75" customHeight="1">
      <c r="A239" s="7"/>
      <c r="B239" s="7"/>
      <c r="C239" s="7"/>
      <c r="D239" s="7"/>
      <c r="E239" s="7"/>
      <c r="F239" s="7"/>
    </row>
    <row r="240" ht="15.75" customHeight="1">
      <c r="A240" s="7"/>
      <c r="B240" s="7"/>
      <c r="C240" s="7"/>
      <c r="D240" s="7"/>
      <c r="E240" s="7"/>
      <c r="F240" s="7"/>
    </row>
    <row r="241" ht="15.75" customHeight="1">
      <c r="A241" s="7"/>
      <c r="B241" s="7"/>
      <c r="C241" s="7"/>
      <c r="D241" s="7"/>
      <c r="E241" s="7"/>
      <c r="F241" s="7"/>
    </row>
    <row r="242" ht="15.75" customHeight="1">
      <c r="A242" s="7"/>
      <c r="B242" s="7"/>
      <c r="C242" s="7"/>
      <c r="D242" s="7"/>
      <c r="E242" s="7"/>
      <c r="F242" s="7"/>
    </row>
    <row r="243" ht="15.75" customHeight="1">
      <c r="A243" s="7"/>
      <c r="B243" s="7"/>
      <c r="C243" s="7"/>
      <c r="D243" s="7"/>
      <c r="E243" s="7"/>
      <c r="F243" s="7"/>
    </row>
    <row r="244" ht="15.75" customHeight="1">
      <c r="A244" s="7"/>
      <c r="B244" s="7"/>
      <c r="C244" s="7"/>
      <c r="D244" s="7"/>
      <c r="E244" s="7"/>
      <c r="F244" s="7"/>
    </row>
    <row r="245" ht="15.75" customHeight="1">
      <c r="A245" s="7"/>
      <c r="B245" s="7"/>
      <c r="C245" s="7"/>
      <c r="D245" s="7"/>
      <c r="E245" s="7"/>
      <c r="F245" s="7"/>
    </row>
    <row r="246" ht="15.75" customHeight="1">
      <c r="A246" s="7"/>
      <c r="B246" s="7"/>
      <c r="C246" s="7"/>
      <c r="D246" s="7"/>
      <c r="E246" s="7"/>
      <c r="F246" s="7"/>
    </row>
    <row r="247" ht="15.75" customHeight="1">
      <c r="A247" s="7"/>
      <c r="B247" s="7"/>
      <c r="C247" s="7"/>
      <c r="D247" s="7"/>
      <c r="E247" s="7"/>
      <c r="F247" s="7"/>
    </row>
    <row r="248" ht="15.75" customHeight="1">
      <c r="A248" s="7"/>
      <c r="B248" s="7"/>
      <c r="C248" s="7"/>
      <c r="D248" s="7"/>
      <c r="E248" s="7"/>
      <c r="F248" s="7"/>
    </row>
    <row r="249" ht="15.75" customHeight="1">
      <c r="A249" s="7"/>
      <c r="B249" s="7"/>
      <c r="C249" s="7"/>
      <c r="D249" s="7"/>
      <c r="E249" s="7"/>
      <c r="F249" s="7"/>
    </row>
    <row r="250" ht="15.75" customHeight="1">
      <c r="A250" s="7"/>
      <c r="B250" s="7"/>
      <c r="C250" s="7"/>
      <c r="D250" s="7"/>
      <c r="E250" s="7"/>
      <c r="F250" s="7"/>
    </row>
    <row r="251" ht="15.75" customHeight="1">
      <c r="A251" s="7"/>
      <c r="B251" s="7"/>
      <c r="C251" s="7"/>
      <c r="D251" s="7"/>
      <c r="E251" s="7"/>
      <c r="F251" s="7"/>
    </row>
    <row r="252" ht="15.75" customHeight="1">
      <c r="A252" s="7"/>
      <c r="B252" s="7"/>
      <c r="C252" s="7"/>
      <c r="D252" s="7"/>
      <c r="E252" s="7"/>
      <c r="F252" s="7"/>
    </row>
    <row r="253" ht="15.75" customHeight="1">
      <c r="A253" s="7"/>
      <c r="B253" s="7"/>
      <c r="C253" s="7"/>
      <c r="D253" s="7"/>
      <c r="E253" s="7"/>
      <c r="F253" s="7"/>
    </row>
    <row r="254" ht="15.75" customHeight="1">
      <c r="A254" s="7"/>
      <c r="B254" s="7"/>
      <c r="C254" s="7"/>
      <c r="D254" s="7"/>
      <c r="E254" s="7"/>
      <c r="F254" s="7"/>
    </row>
    <row r="255" ht="15.75" customHeight="1">
      <c r="A255" s="7"/>
      <c r="B255" s="7"/>
      <c r="C255" s="7"/>
      <c r="D255" s="7"/>
      <c r="E255" s="7"/>
      <c r="F255" s="7"/>
    </row>
    <row r="256" ht="15.75" customHeight="1">
      <c r="A256" s="7"/>
      <c r="B256" s="7"/>
      <c r="C256" s="7"/>
      <c r="D256" s="7"/>
      <c r="E256" s="7"/>
      <c r="F256" s="7"/>
    </row>
    <row r="257" ht="15.75" customHeight="1">
      <c r="A257" s="7"/>
      <c r="B257" s="7"/>
      <c r="C257" s="7"/>
      <c r="D257" s="7"/>
      <c r="E257" s="7"/>
      <c r="F257" s="7"/>
    </row>
    <row r="258" ht="15.75" customHeight="1">
      <c r="A258" s="7"/>
      <c r="B258" s="7"/>
      <c r="C258" s="7"/>
      <c r="D258" s="7"/>
      <c r="E258" s="7"/>
      <c r="F258" s="7"/>
    </row>
    <row r="259" ht="15.75" customHeight="1">
      <c r="A259" s="7"/>
      <c r="B259" s="7"/>
      <c r="C259" s="7"/>
      <c r="D259" s="7"/>
      <c r="E259" s="7"/>
      <c r="F259" s="7"/>
    </row>
    <row r="260" ht="15.75" customHeight="1">
      <c r="A260" s="7"/>
      <c r="B260" s="7"/>
      <c r="C260" s="7"/>
      <c r="D260" s="7"/>
      <c r="E260" s="7"/>
      <c r="F260" s="7"/>
    </row>
    <row r="261" ht="15.75" customHeight="1">
      <c r="A261" s="7"/>
      <c r="B261" s="7"/>
      <c r="C261" s="7"/>
      <c r="D261" s="7"/>
      <c r="E261" s="7"/>
      <c r="F261" s="7"/>
    </row>
    <row r="262" ht="15.75" customHeight="1">
      <c r="A262" s="7"/>
      <c r="B262" s="7"/>
      <c r="C262" s="7"/>
      <c r="D262" s="7"/>
      <c r="E262" s="7"/>
      <c r="F262" s="7"/>
    </row>
    <row r="263" ht="15.75" customHeight="1">
      <c r="A263" s="7"/>
      <c r="B263" s="7"/>
      <c r="C263" s="7"/>
      <c r="D263" s="7"/>
      <c r="E263" s="7"/>
      <c r="F263" s="7"/>
    </row>
    <row r="264" ht="15.75" customHeight="1">
      <c r="A264" s="7"/>
      <c r="B264" s="7"/>
      <c r="C264" s="7"/>
      <c r="D264" s="7"/>
      <c r="E264" s="7"/>
      <c r="F264" s="7"/>
    </row>
    <row r="265" ht="15.75" customHeight="1">
      <c r="A265" s="7"/>
      <c r="B265" s="7"/>
      <c r="C265" s="7"/>
      <c r="D265" s="7"/>
      <c r="E265" s="7"/>
      <c r="F265" s="7"/>
    </row>
    <row r="266" ht="15.75" customHeight="1">
      <c r="A266" s="7"/>
      <c r="B266" s="7"/>
      <c r="C266" s="7"/>
      <c r="D266" s="7"/>
      <c r="E266" s="7"/>
      <c r="F266" s="7"/>
    </row>
    <row r="267" ht="15.75" customHeight="1">
      <c r="A267" s="7"/>
      <c r="B267" s="7"/>
      <c r="C267" s="7"/>
      <c r="D267" s="7"/>
      <c r="E267" s="7"/>
      <c r="F267" s="7"/>
    </row>
    <row r="268" ht="15.75" customHeight="1">
      <c r="A268" s="7"/>
      <c r="B268" s="7"/>
      <c r="C268" s="7"/>
      <c r="D268" s="7"/>
      <c r="E268" s="7"/>
      <c r="F268" s="7"/>
    </row>
    <row r="269" ht="15.75" customHeight="1">
      <c r="A269" s="7"/>
      <c r="B269" s="7"/>
      <c r="C269" s="7"/>
      <c r="D269" s="7"/>
      <c r="E269" s="7"/>
      <c r="F269" s="7"/>
    </row>
    <row r="270" ht="15.75" customHeight="1">
      <c r="A270" s="7"/>
      <c r="B270" s="7"/>
      <c r="C270" s="7"/>
      <c r="D270" s="7"/>
      <c r="E270" s="7"/>
      <c r="F270" s="7"/>
    </row>
    <row r="271" ht="15.75" customHeight="1">
      <c r="A271" s="7"/>
      <c r="B271" s="7"/>
      <c r="C271" s="7"/>
      <c r="D271" s="7"/>
      <c r="E271" s="7"/>
      <c r="F271" s="7"/>
    </row>
    <row r="272" ht="15.75" customHeight="1">
      <c r="A272" s="7"/>
      <c r="B272" s="7"/>
      <c r="C272" s="7"/>
      <c r="D272" s="7"/>
      <c r="E272" s="7"/>
      <c r="F272" s="7"/>
    </row>
    <row r="273" ht="15.75" customHeight="1">
      <c r="A273" s="7"/>
      <c r="B273" s="7"/>
      <c r="C273" s="7"/>
      <c r="D273" s="7"/>
      <c r="E273" s="7"/>
      <c r="F273" s="7"/>
    </row>
    <row r="274" ht="15.75" customHeight="1">
      <c r="A274" s="7"/>
      <c r="B274" s="7"/>
      <c r="C274" s="7"/>
      <c r="D274" s="7"/>
      <c r="E274" s="7"/>
      <c r="F274" s="7"/>
    </row>
    <row r="275" ht="15.75" customHeight="1">
      <c r="A275" s="7"/>
      <c r="B275" s="7"/>
      <c r="C275" s="7"/>
      <c r="D275" s="7"/>
      <c r="E275" s="7"/>
      <c r="F275" s="7"/>
    </row>
    <row r="276" ht="15.75" customHeight="1">
      <c r="A276" s="7"/>
      <c r="B276" s="7"/>
      <c r="C276" s="7"/>
      <c r="D276" s="7"/>
      <c r="E276" s="7"/>
      <c r="F276" s="7"/>
    </row>
    <row r="277" ht="15.75" customHeight="1">
      <c r="A277" s="7"/>
      <c r="B277" s="7"/>
      <c r="C277" s="7"/>
      <c r="D277" s="7"/>
      <c r="E277" s="7"/>
      <c r="F277" s="7"/>
    </row>
    <row r="278" ht="15.75" customHeight="1">
      <c r="A278" s="7"/>
      <c r="B278" s="7"/>
      <c r="C278" s="7"/>
      <c r="D278" s="7"/>
      <c r="E278" s="7"/>
      <c r="F278" s="7"/>
    </row>
    <row r="279" ht="15.75" customHeight="1">
      <c r="A279" s="7"/>
      <c r="B279" s="7"/>
      <c r="C279" s="7"/>
      <c r="D279" s="7"/>
      <c r="E279" s="7"/>
      <c r="F279" s="7"/>
    </row>
    <row r="280" ht="15.75" customHeight="1">
      <c r="A280" s="7"/>
      <c r="B280" s="7"/>
      <c r="C280" s="7"/>
      <c r="D280" s="7"/>
      <c r="E280" s="7"/>
      <c r="F280" s="7"/>
    </row>
    <row r="281" ht="15.75" customHeight="1">
      <c r="A281" s="7"/>
      <c r="B281" s="7"/>
      <c r="C281" s="7"/>
      <c r="D281" s="7"/>
      <c r="E281" s="7"/>
      <c r="F281" s="7"/>
    </row>
    <row r="282" ht="15.75" customHeight="1">
      <c r="A282" s="7"/>
      <c r="B282" s="7"/>
      <c r="C282" s="7"/>
      <c r="D282" s="7"/>
      <c r="E282" s="7"/>
      <c r="F282" s="7"/>
    </row>
    <row r="283" ht="15.75" customHeight="1">
      <c r="A283" s="7"/>
      <c r="B283" s="7"/>
      <c r="C283" s="7"/>
      <c r="D283" s="7"/>
      <c r="E283" s="7"/>
      <c r="F283" s="7"/>
    </row>
    <row r="284" ht="15.75" customHeight="1">
      <c r="A284" s="7"/>
      <c r="B284" s="7"/>
      <c r="C284" s="7"/>
      <c r="D284" s="7"/>
      <c r="E284" s="7"/>
      <c r="F284" s="7"/>
    </row>
    <row r="285" ht="15.75" customHeight="1">
      <c r="A285" s="7"/>
      <c r="B285" s="7"/>
      <c r="C285" s="7"/>
      <c r="D285" s="7"/>
      <c r="E285" s="7"/>
      <c r="F285" s="7"/>
    </row>
    <row r="286" ht="15.75" customHeight="1">
      <c r="A286" s="7"/>
      <c r="B286" s="7"/>
      <c r="C286" s="7"/>
      <c r="D286" s="7"/>
      <c r="E286" s="7"/>
      <c r="F286" s="7"/>
    </row>
    <row r="287" ht="15.75" customHeight="1">
      <c r="A287" s="7"/>
      <c r="B287" s="7"/>
      <c r="C287" s="7"/>
      <c r="D287" s="7"/>
      <c r="E287" s="7"/>
      <c r="F287" s="7"/>
    </row>
    <row r="288" ht="15.75" customHeight="1">
      <c r="A288" s="7"/>
      <c r="B288" s="7"/>
      <c r="C288" s="7"/>
      <c r="D288" s="7"/>
      <c r="E288" s="7"/>
      <c r="F288" s="7"/>
    </row>
    <row r="289" ht="15.75" customHeight="1">
      <c r="A289" s="7"/>
      <c r="B289" s="7"/>
      <c r="C289" s="7"/>
      <c r="D289" s="7"/>
      <c r="E289" s="7"/>
      <c r="F289" s="7"/>
    </row>
    <row r="290" ht="15.75" customHeight="1">
      <c r="A290" s="7"/>
      <c r="B290" s="7"/>
      <c r="C290" s="7"/>
      <c r="D290" s="7"/>
      <c r="E290" s="7"/>
      <c r="F290" s="7"/>
    </row>
    <row r="291" ht="15.75" customHeight="1">
      <c r="A291" s="7"/>
      <c r="B291" s="7"/>
      <c r="C291" s="7"/>
      <c r="D291" s="7"/>
      <c r="E291" s="7"/>
      <c r="F291" s="7"/>
    </row>
    <row r="292" ht="15.75" customHeight="1">
      <c r="A292" s="7"/>
      <c r="B292" s="7"/>
      <c r="C292" s="7"/>
      <c r="D292" s="7"/>
      <c r="E292" s="7"/>
      <c r="F292" s="7"/>
    </row>
    <row r="293" ht="15.75" customHeight="1">
      <c r="A293" s="7"/>
      <c r="B293" s="7"/>
      <c r="C293" s="7"/>
      <c r="D293" s="7"/>
      <c r="E293" s="7"/>
      <c r="F293" s="7"/>
    </row>
    <row r="294" ht="15.75" customHeight="1">
      <c r="A294" s="7"/>
      <c r="B294" s="7"/>
      <c r="C294" s="7"/>
      <c r="D294" s="7"/>
      <c r="E294" s="7"/>
      <c r="F294" s="7"/>
    </row>
    <row r="295" ht="15.75" customHeight="1">
      <c r="A295" s="7"/>
      <c r="B295" s="7"/>
      <c r="C295" s="7"/>
      <c r="D295" s="7"/>
      <c r="E295" s="7"/>
      <c r="F295" s="7"/>
    </row>
    <row r="296" ht="15.75" customHeight="1">
      <c r="A296" s="7"/>
      <c r="B296" s="7"/>
      <c r="C296" s="7"/>
      <c r="D296" s="7"/>
      <c r="E296" s="7"/>
      <c r="F296" s="7"/>
    </row>
    <row r="297" ht="15.75" customHeight="1">
      <c r="A297" s="7"/>
      <c r="B297" s="7"/>
      <c r="C297" s="7"/>
      <c r="D297" s="7"/>
      <c r="E297" s="7"/>
      <c r="F297" s="7"/>
    </row>
    <row r="298" ht="15.75" customHeight="1">
      <c r="A298" s="7"/>
      <c r="B298" s="7"/>
      <c r="C298" s="7"/>
      <c r="D298" s="7"/>
      <c r="E298" s="7"/>
      <c r="F298" s="7"/>
    </row>
    <row r="299" ht="15.75" customHeight="1">
      <c r="A299" s="7"/>
      <c r="B299" s="7"/>
      <c r="C299" s="7"/>
      <c r="D299" s="7"/>
      <c r="E299" s="7"/>
      <c r="F299" s="7"/>
    </row>
    <row r="300" ht="15.75" customHeight="1">
      <c r="A300" s="7"/>
      <c r="B300" s="7"/>
      <c r="C300" s="7"/>
      <c r="D300" s="7"/>
      <c r="E300" s="7"/>
      <c r="F300" s="7"/>
    </row>
    <row r="301" ht="15.75" customHeight="1">
      <c r="A301" s="7"/>
      <c r="B301" s="7"/>
      <c r="C301" s="7"/>
      <c r="D301" s="7"/>
      <c r="E301" s="7"/>
      <c r="F301" s="7"/>
    </row>
    <row r="302" ht="15.75" customHeight="1">
      <c r="A302" s="7"/>
      <c r="B302" s="7"/>
      <c r="C302" s="7"/>
      <c r="D302" s="7"/>
      <c r="E302" s="7"/>
      <c r="F302" s="7"/>
    </row>
    <row r="303" ht="15.75" customHeight="1">
      <c r="A303" s="7"/>
      <c r="B303" s="7"/>
      <c r="C303" s="7"/>
      <c r="D303" s="7"/>
      <c r="E303" s="7"/>
      <c r="F303" s="7"/>
    </row>
    <row r="304" ht="15.75" customHeight="1">
      <c r="A304" s="7"/>
      <c r="B304" s="7"/>
      <c r="C304" s="7"/>
      <c r="D304" s="7"/>
      <c r="E304" s="7"/>
      <c r="F304" s="7"/>
    </row>
    <row r="305" ht="15.75" customHeight="1">
      <c r="A305" s="7"/>
      <c r="B305" s="7"/>
      <c r="C305" s="7"/>
      <c r="D305" s="7"/>
      <c r="E305" s="7"/>
      <c r="F305" s="7"/>
    </row>
    <row r="306" ht="15.75" customHeight="1">
      <c r="A306" s="7"/>
      <c r="B306" s="7"/>
      <c r="C306" s="7"/>
      <c r="D306" s="7"/>
      <c r="E306" s="7"/>
      <c r="F306" s="7"/>
    </row>
    <row r="307" ht="15.75" customHeight="1">
      <c r="A307" s="7"/>
      <c r="B307" s="7"/>
      <c r="C307" s="7"/>
      <c r="D307" s="7"/>
      <c r="E307" s="7"/>
      <c r="F307" s="7"/>
    </row>
    <row r="308" ht="15.75" customHeight="1">
      <c r="A308" s="7"/>
      <c r="B308" s="7"/>
      <c r="C308" s="7"/>
      <c r="D308" s="7"/>
      <c r="E308" s="7"/>
      <c r="F308" s="7"/>
    </row>
    <row r="309" ht="15.75" customHeight="1">
      <c r="A309" s="7"/>
      <c r="B309" s="7"/>
      <c r="C309" s="7"/>
      <c r="D309" s="7"/>
      <c r="E309" s="7"/>
      <c r="F309" s="7"/>
    </row>
    <row r="310" ht="15.75" customHeight="1">
      <c r="A310" s="7"/>
      <c r="B310" s="7"/>
      <c r="C310" s="7"/>
      <c r="D310" s="7"/>
      <c r="E310" s="7"/>
      <c r="F310" s="7"/>
    </row>
    <row r="311" ht="15.75" customHeight="1">
      <c r="A311" s="7"/>
      <c r="B311" s="7"/>
      <c r="C311" s="7"/>
      <c r="D311" s="7"/>
      <c r="E311" s="7"/>
      <c r="F311" s="7"/>
    </row>
    <row r="312" ht="15.75" customHeight="1">
      <c r="A312" s="7"/>
      <c r="B312" s="7"/>
      <c r="C312" s="7"/>
      <c r="D312" s="7"/>
      <c r="E312" s="7"/>
      <c r="F312" s="7"/>
    </row>
    <row r="313" ht="15.75" customHeight="1">
      <c r="A313" s="7"/>
      <c r="B313" s="7"/>
      <c r="C313" s="7"/>
      <c r="D313" s="7"/>
      <c r="E313" s="7"/>
      <c r="F313" s="7"/>
    </row>
    <row r="314" ht="15.75" customHeight="1">
      <c r="A314" s="7"/>
      <c r="B314" s="7"/>
      <c r="C314" s="7"/>
      <c r="D314" s="7"/>
      <c r="E314" s="7"/>
      <c r="F314" s="7"/>
    </row>
    <row r="315" ht="15.75" customHeight="1">
      <c r="A315" s="7"/>
      <c r="B315" s="7"/>
      <c r="C315" s="7"/>
      <c r="D315" s="7"/>
      <c r="E315" s="7"/>
      <c r="F315" s="7"/>
    </row>
    <row r="316" ht="15.75" customHeight="1">
      <c r="A316" s="7"/>
      <c r="B316" s="7"/>
      <c r="C316" s="7"/>
      <c r="D316" s="7"/>
      <c r="E316" s="7"/>
      <c r="F316" s="7"/>
    </row>
    <row r="317" ht="15.75" customHeight="1">
      <c r="A317" s="7"/>
      <c r="B317" s="7"/>
      <c r="C317" s="7"/>
      <c r="D317" s="7"/>
      <c r="E317" s="7"/>
      <c r="F317" s="7"/>
    </row>
    <row r="318" ht="15.75" customHeight="1">
      <c r="A318" s="7"/>
      <c r="B318" s="7"/>
      <c r="C318" s="7"/>
      <c r="D318" s="7"/>
      <c r="E318" s="7"/>
      <c r="F318" s="7"/>
    </row>
    <row r="319" ht="15.75" customHeight="1">
      <c r="A319" s="7"/>
      <c r="B319" s="7"/>
      <c r="C319" s="7"/>
      <c r="D319" s="7"/>
      <c r="E319" s="7"/>
      <c r="F319" s="7"/>
    </row>
    <row r="320" ht="15.75" customHeight="1">
      <c r="A320" s="7"/>
      <c r="B320" s="7"/>
      <c r="C320" s="7"/>
      <c r="D320" s="7"/>
      <c r="E320" s="7"/>
      <c r="F320" s="7"/>
    </row>
    <row r="321" ht="15.75" customHeight="1">
      <c r="A321" s="7"/>
      <c r="B321" s="7"/>
      <c r="C321" s="7"/>
      <c r="D321" s="7"/>
      <c r="E321" s="7"/>
      <c r="F321" s="7"/>
    </row>
    <row r="322" ht="15.75" customHeight="1">
      <c r="A322" s="7"/>
      <c r="B322" s="7"/>
      <c r="C322" s="7"/>
      <c r="D322" s="7"/>
      <c r="E322" s="7"/>
      <c r="F322" s="7"/>
    </row>
    <row r="323" ht="15.75" customHeight="1">
      <c r="A323" s="7"/>
      <c r="B323" s="7"/>
      <c r="C323" s="7"/>
      <c r="D323" s="7"/>
      <c r="E323" s="7"/>
      <c r="F323" s="7"/>
    </row>
    <row r="324" ht="15.75" customHeight="1">
      <c r="A324" s="7"/>
      <c r="B324" s="7"/>
      <c r="C324" s="7"/>
      <c r="D324" s="7"/>
      <c r="E324" s="7"/>
      <c r="F324" s="7"/>
    </row>
    <row r="325" ht="15.75" customHeight="1">
      <c r="A325" s="7"/>
      <c r="B325" s="7"/>
      <c r="C325" s="7"/>
      <c r="D325" s="7"/>
      <c r="E325" s="7"/>
      <c r="F325" s="7"/>
    </row>
    <row r="326" ht="15.75" customHeight="1">
      <c r="A326" s="7"/>
      <c r="B326" s="7"/>
      <c r="C326" s="7"/>
      <c r="D326" s="7"/>
      <c r="E326" s="7"/>
      <c r="F326" s="7"/>
    </row>
    <row r="327" ht="15.75" customHeight="1">
      <c r="A327" s="7"/>
      <c r="B327" s="7"/>
      <c r="C327" s="7"/>
      <c r="D327" s="7"/>
      <c r="E327" s="7"/>
      <c r="F327" s="7"/>
    </row>
    <row r="328" ht="15.75" customHeight="1">
      <c r="A328" s="7"/>
      <c r="B328" s="7"/>
      <c r="C328" s="7"/>
      <c r="D328" s="7"/>
      <c r="E328" s="7"/>
      <c r="F328" s="7"/>
    </row>
    <row r="329" ht="15.75" customHeight="1">
      <c r="A329" s="7"/>
      <c r="B329" s="7"/>
      <c r="C329" s="7"/>
      <c r="D329" s="7"/>
      <c r="E329" s="7"/>
      <c r="F329" s="7"/>
    </row>
    <row r="330" ht="15.75" customHeight="1">
      <c r="A330" s="7"/>
      <c r="B330" s="7"/>
      <c r="C330" s="7"/>
      <c r="D330" s="7"/>
      <c r="E330" s="7"/>
      <c r="F330" s="7"/>
    </row>
    <row r="331" ht="15.75" customHeight="1">
      <c r="A331" s="7"/>
      <c r="B331" s="7"/>
      <c r="C331" s="7"/>
      <c r="D331" s="7"/>
      <c r="E331" s="7"/>
      <c r="F331" s="7"/>
    </row>
    <row r="332" ht="15.75" customHeight="1">
      <c r="A332" s="7"/>
      <c r="B332" s="7"/>
      <c r="C332" s="7"/>
      <c r="D332" s="7"/>
      <c r="E332" s="7"/>
      <c r="F332" s="7"/>
    </row>
    <row r="333" ht="15.75" customHeight="1">
      <c r="A333" s="7"/>
      <c r="B333" s="7"/>
      <c r="C333" s="7"/>
      <c r="D333" s="7"/>
      <c r="E333" s="7"/>
      <c r="F333" s="7"/>
    </row>
    <row r="334" ht="15.75" customHeight="1">
      <c r="A334" s="7"/>
      <c r="B334" s="7"/>
      <c r="C334" s="7"/>
      <c r="D334" s="7"/>
      <c r="E334" s="7"/>
      <c r="F334" s="7"/>
    </row>
    <row r="335" ht="15.75" customHeight="1">
      <c r="A335" s="7"/>
      <c r="B335" s="7"/>
      <c r="C335" s="7"/>
      <c r="D335" s="7"/>
      <c r="E335" s="7"/>
      <c r="F335" s="7"/>
    </row>
    <row r="336" ht="15.75" customHeight="1">
      <c r="A336" s="7"/>
      <c r="B336" s="7"/>
      <c r="C336" s="7"/>
      <c r="D336" s="7"/>
      <c r="E336" s="7"/>
      <c r="F336" s="7"/>
    </row>
    <row r="337" ht="15.75" customHeight="1">
      <c r="A337" s="7"/>
      <c r="B337" s="7"/>
      <c r="C337" s="7"/>
      <c r="D337" s="7"/>
      <c r="E337" s="7"/>
      <c r="F337" s="7"/>
    </row>
    <row r="338" ht="15.75" customHeight="1">
      <c r="A338" s="7"/>
      <c r="B338" s="7"/>
      <c r="C338" s="7"/>
      <c r="D338" s="7"/>
      <c r="E338" s="7"/>
      <c r="F338" s="7"/>
    </row>
    <row r="339" ht="15.75" customHeight="1">
      <c r="A339" s="7"/>
      <c r="B339" s="7"/>
      <c r="C339" s="7"/>
      <c r="D339" s="7"/>
      <c r="E339" s="7"/>
      <c r="F339" s="7"/>
    </row>
    <row r="340" ht="15.75" customHeight="1">
      <c r="A340" s="7"/>
      <c r="B340" s="7"/>
      <c r="C340" s="7"/>
      <c r="D340" s="7"/>
      <c r="E340" s="7"/>
      <c r="F340" s="7"/>
    </row>
    <row r="341" ht="15.75" customHeight="1">
      <c r="A341" s="7"/>
      <c r="B341" s="7"/>
      <c r="C341" s="7"/>
      <c r="D341" s="7"/>
      <c r="E341" s="7"/>
      <c r="F341" s="7"/>
    </row>
    <row r="342" ht="15.75" customHeight="1">
      <c r="A342" s="7"/>
      <c r="B342" s="7"/>
      <c r="C342" s="7"/>
      <c r="D342" s="7"/>
      <c r="E342" s="7"/>
      <c r="F342" s="7"/>
    </row>
    <row r="343" ht="15.75" customHeight="1">
      <c r="A343" s="7"/>
      <c r="B343" s="7"/>
      <c r="C343" s="7"/>
      <c r="D343" s="7"/>
      <c r="E343" s="7"/>
      <c r="F343" s="7"/>
    </row>
    <row r="344" ht="15.75" customHeight="1">
      <c r="A344" s="7"/>
      <c r="B344" s="7"/>
      <c r="C344" s="7"/>
      <c r="D344" s="7"/>
      <c r="E344" s="7"/>
      <c r="F344" s="7"/>
    </row>
    <row r="345" ht="15.75" customHeight="1">
      <c r="A345" s="7"/>
      <c r="B345" s="7"/>
      <c r="C345" s="7"/>
      <c r="D345" s="7"/>
      <c r="E345" s="7"/>
      <c r="F345" s="7"/>
    </row>
    <row r="346" ht="15.75" customHeight="1">
      <c r="A346" s="7"/>
      <c r="B346" s="7"/>
      <c r="C346" s="7"/>
      <c r="D346" s="7"/>
      <c r="E346" s="7"/>
      <c r="F346" s="7"/>
    </row>
    <row r="347" ht="15.75" customHeight="1">
      <c r="A347" s="7"/>
      <c r="B347" s="7"/>
      <c r="C347" s="7"/>
      <c r="D347" s="7"/>
      <c r="E347" s="7"/>
      <c r="F347" s="7"/>
    </row>
    <row r="348" ht="15.75" customHeight="1">
      <c r="A348" s="7"/>
      <c r="B348" s="7"/>
      <c r="C348" s="7"/>
      <c r="D348" s="7"/>
      <c r="E348" s="7"/>
      <c r="F348" s="7"/>
    </row>
    <row r="349" ht="15.75" customHeight="1">
      <c r="A349" s="7"/>
      <c r="B349" s="7"/>
      <c r="C349" s="7"/>
      <c r="D349" s="7"/>
      <c r="E349" s="7"/>
      <c r="F349" s="7"/>
    </row>
    <row r="350" ht="15.75" customHeight="1">
      <c r="A350" s="7"/>
      <c r="B350" s="7"/>
      <c r="C350" s="7"/>
      <c r="D350" s="7"/>
      <c r="E350" s="7"/>
      <c r="F350" s="7"/>
    </row>
    <row r="351" ht="15.75" customHeight="1">
      <c r="A351" s="7"/>
      <c r="B351" s="7"/>
      <c r="C351" s="7"/>
      <c r="D351" s="7"/>
      <c r="E351" s="7"/>
      <c r="F351" s="7"/>
    </row>
    <row r="352" ht="15.75" customHeight="1">
      <c r="A352" s="7"/>
      <c r="B352" s="7"/>
      <c r="C352" s="7"/>
      <c r="D352" s="7"/>
      <c r="E352" s="7"/>
      <c r="F352" s="7"/>
    </row>
    <row r="353" ht="15.75" customHeight="1">
      <c r="A353" s="7"/>
      <c r="B353" s="7"/>
      <c r="C353" s="7"/>
      <c r="D353" s="7"/>
      <c r="E353" s="7"/>
      <c r="F353" s="7"/>
    </row>
    <row r="354" ht="15.75" customHeight="1">
      <c r="A354" s="7"/>
      <c r="B354" s="7"/>
      <c r="C354" s="7"/>
      <c r="D354" s="7"/>
      <c r="E354" s="7"/>
      <c r="F354" s="7"/>
    </row>
    <row r="355" ht="15.75" customHeight="1">
      <c r="A355" s="7"/>
      <c r="B355" s="7"/>
      <c r="C355" s="7"/>
      <c r="D355" s="7"/>
      <c r="E355" s="7"/>
      <c r="F355" s="7"/>
    </row>
    <row r="356" ht="15.75" customHeight="1">
      <c r="A356" s="7"/>
      <c r="B356" s="7"/>
      <c r="C356" s="7"/>
      <c r="D356" s="7"/>
      <c r="E356" s="7"/>
      <c r="F356" s="7"/>
    </row>
    <row r="357" ht="15.75" customHeight="1">
      <c r="A357" s="7"/>
      <c r="B357" s="7"/>
      <c r="C357" s="7"/>
      <c r="D357" s="7"/>
      <c r="E357" s="7"/>
      <c r="F357" s="7"/>
    </row>
    <row r="358" ht="15.75" customHeight="1">
      <c r="A358" s="7"/>
      <c r="B358" s="7"/>
      <c r="C358" s="7"/>
      <c r="D358" s="7"/>
      <c r="E358" s="7"/>
      <c r="F358" s="7"/>
    </row>
    <row r="359" ht="15.75" customHeight="1">
      <c r="A359" s="7"/>
      <c r="B359" s="7"/>
      <c r="C359" s="7"/>
      <c r="D359" s="7"/>
      <c r="E359" s="7"/>
      <c r="F359" s="7"/>
    </row>
    <row r="360" ht="15.75" customHeight="1">
      <c r="A360" s="7"/>
      <c r="B360" s="7"/>
      <c r="C360" s="7"/>
      <c r="D360" s="7"/>
      <c r="E360" s="7"/>
      <c r="F360" s="7"/>
    </row>
    <row r="361" ht="15.75" customHeight="1">
      <c r="A361" s="7"/>
      <c r="B361" s="7"/>
      <c r="C361" s="7"/>
      <c r="D361" s="7"/>
      <c r="E361" s="7"/>
      <c r="F361" s="7"/>
    </row>
    <row r="362" ht="15.75" customHeight="1">
      <c r="A362" s="7"/>
      <c r="B362" s="7"/>
      <c r="C362" s="7"/>
      <c r="D362" s="7"/>
      <c r="E362" s="7"/>
      <c r="F362" s="7"/>
    </row>
    <row r="363" ht="15.75" customHeight="1">
      <c r="A363" s="7"/>
      <c r="B363" s="7"/>
      <c r="C363" s="7"/>
      <c r="D363" s="7"/>
      <c r="E363" s="7"/>
      <c r="F363" s="7"/>
    </row>
    <row r="364" ht="15.75" customHeight="1">
      <c r="A364" s="7"/>
      <c r="B364" s="7"/>
      <c r="C364" s="7"/>
      <c r="D364" s="7"/>
      <c r="E364" s="7"/>
      <c r="F364" s="7"/>
    </row>
    <row r="365" ht="15.75" customHeight="1">
      <c r="A365" s="7"/>
      <c r="B365" s="7"/>
      <c r="C365" s="7"/>
      <c r="D365" s="7"/>
      <c r="E365" s="7"/>
      <c r="F365" s="7"/>
    </row>
    <row r="366" ht="15.75" customHeight="1">
      <c r="A366" s="7"/>
      <c r="B366" s="7"/>
      <c r="C366" s="7"/>
      <c r="D366" s="7"/>
      <c r="E366" s="7"/>
      <c r="F366" s="7"/>
    </row>
    <row r="367" ht="15.75" customHeight="1">
      <c r="A367" s="7"/>
      <c r="B367" s="7"/>
      <c r="C367" s="7"/>
      <c r="D367" s="7"/>
      <c r="E367" s="7"/>
      <c r="F367" s="7"/>
    </row>
    <row r="368" ht="15.75" customHeight="1">
      <c r="A368" s="7"/>
      <c r="B368" s="7"/>
      <c r="C368" s="7"/>
      <c r="D368" s="7"/>
      <c r="E368" s="7"/>
      <c r="F368" s="7"/>
    </row>
    <row r="369" ht="15.75" customHeight="1">
      <c r="A369" s="7"/>
      <c r="B369" s="7"/>
      <c r="C369" s="7"/>
      <c r="D369" s="7"/>
      <c r="E369" s="7"/>
      <c r="F369" s="7"/>
    </row>
    <row r="370" ht="15.75" customHeight="1">
      <c r="A370" s="7"/>
      <c r="B370" s="7"/>
      <c r="C370" s="7"/>
      <c r="D370" s="7"/>
      <c r="E370" s="7"/>
      <c r="F370" s="7"/>
    </row>
    <row r="371" ht="15.75" customHeight="1">
      <c r="A371" s="7"/>
      <c r="B371" s="7"/>
      <c r="C371" s="7"/>
      <c r="D371" s="7"/>
      <c r="E371" s="7"/>
      <c r="F371" s="7"/>
    </row>
    <row r="372" ht="15.75" customHeight="1">
      <c r="A372" s="7"/>
      <c r="B372" s="7"/>
      <c r="C372" s="7"/>
      <c r="D372" s="7"/>
      <c r="E372" s="7"/>
      <c r="F372" s="7"/>
    </row>
    <row r="373" ht="15.75" customHeight="1">
      <c r="A373" s="7"/>
      <c r="B373" s="7"/>
      <c r="C373" s="7"/>
      <c r="D373" s="7"/>
      <c r="E373" s="7"/>
      <c r="F373" s="7"/>
    </row>
    <row r="374" ht="15.75" customHeight="1">
      <c r="A374" s="7"/>
      <c r="B374" s="7"/>
      <c r="C374" s="7"/>
      <c r="D374" s="7"/>
      <c r="E374" s="7"/>
      <c r="F374" s="7"/>
    </row>
    <row r="375" ht="15.75" customHeight="1">
      <c r="A375" s="7"/>
      <c r="B375" s="7"/>
      <c r="C375" s="7"/>
      <c r="D375" s="7"/>
      <c r="E375" s="7"/>
      <c r="F375" s="7"/>
    </row>
    <row r="376" ht="15.75" customHeight="1">
      <c r="A376" s="7"/>
      <c r="B376" s="7"/>
      <c r="C376" s="7"/>
      <c r="D376" s="7"/>
      <c r="E376" s="7"/>
      <c r="F376" s="7"/>
    </row>
    <row r="377" ht="15.75" customHeight="1">
      <c r="A377" s="7"/>
      <c r="B377" s="7"/>
      <c r="C377" s="7"/>
      <c r="D377" s="7"/>
      <c r="E377" s="7"/>
      <c r="F377" s="7"/>
    </row>
    <row r="378" ht="15.75" customHeight="1">
      <c r="A378" s="7"/>
      <c r="B378" s="7"/>
      <c r="C378" s="7"/>
      <c r="D378" s="7"/>
      <c r="E378" s="7"/>
      <c r="F378" s="7"/>
    </row>
    <row r="379" ht="15.75" customHeight="1">
      <c r="A379" s="7"/>
      <c r="B379" s="7"/>
      <c r="C379" s="7"/>
      <c r="D379" s="7"/>
      <c r="E379" s="7"/>
      <c r="F379" s="7"/>
    </row>
    <row r="380" ht="15.75" customHeight="1">
      <c r="A380" s="7"/>
      <c r="B380" s="7"/>
      <c r="C380" s="7"/>
      <c r="D380" s="7"/>
      <c r="E380" s="7"/>
      <c r="F380" s="7"/>
    </row>
    <row r="381" ht="15.75" customHeight="1">
      <c r="A381" s="7"/>
      <c r="B381" s="7"/>
      <c r="C381" s="7"/>
      <c r="D381" s="7"/>
      <c r="E381" s="7"/>
      <c r="F381" s="7"/>
    </row>
    <row r="382" ht="15.75" customHeight="1">
      <c r="A382" s="7"/>
      <c r="B382" s="7"/>
      <c r="C382" s="7"/>
      <c r="D382" s="7"/>
      <c r="E382" s="7"/>
      <c r="F382" s="7"/>
    </row>
    <row r="383" ht="15.75" customHeight="1">
      <c r="A383" s="7"/>
      <c r="B383" s="7"/>
      <c r="C383" s="7"/>
      <c r="D383" s="7"/>
      <c r="E383" s="7"/>
      <c r="F383" s="7"/>
    </row>
    <row r="384" ht="15.75" customHeight="1">
      <c r="A384" s="7"/>
      <c r="B384" s="7"/>
      <c r="C384" s="7"/>
      <c r="D384" s="7"/>
      <c r="E384" s="7"/>
      <c r="F384" s="7"/>
    </row>
    <row r="385" ht="15.75" customHeight="1">
      <c r="A385" s="7"/>
      <c r="B385" s="7"/>
      <c r="C385" s="7"/>
      <c r="D385" s="7"/>
      <c r="E385" s="7"/>
      <c r="F385" s="7"/>
    </row>
    <row r="386" ht="15.75" customHeight="1">
      <c r="A386" s="7"/>
      <c r="B386" s="7"/>
      <c r="C386" s="7"/>
      <c r="D386" s="7"/>
      <c r="E386" s="7"/>
      <c r="F386" s="7"/>
    </row>
    <row r="387" ht="15.75" customHeight="1">
      <c r="A387" s="7"/>
      <c r="B387" s="7"/>
      <c r="C387" s="7"/>
      <c r="D387" s="7"/>
      <c r="E387" s="7"/>
      <c r="F387" s="7"/>
    </row>
    <row r="388" ht="15.75" customHeight="1">
      <c r="A388" s="7"/>
      <c r="B388" s="7"/>
      <c r="C388" s="7"/>
      <c r="D388" s="7"/>
      <c r="E388" s="7"/>
      <c r="F388" s="7"/>
    </row>
    <row r="389" ht="15.75" customHeight="1">
      <c r="A389" s="7"/>
      <c r="B389" s="7"/>
      <c r="C389" s="7"/>
      <c r="D389" s="7"/>
      <c r="E389" s="7"/>
      <c r="F389" s="7"/>
    </row>
    <row r="390" ht="15.75" customHeight="1">
      <c r="A390" s="7"/>
      <c r="B390" s="7"/>
      <c r="C390" s="7"/>
      <c r="D390" s="7"/>
      <c r="E390" s="7"/>
      <c r="F390" s="7"/>
    </row>
    <row r="391" ht="15.75" customHeight="1">
      <c r="A391" s="7"/>
      <c r="B391" s="7"/>
      <c r="C391" s="7"/>
      <c r="D391" s="7"/>
      <c r="E391" s="7"/>
      <c r="F391" s="7"/>
    </row>
    <row r="392" ht="15.75" customHeight="1">
      <c r="A392" s="7"/>
      <c r="B392" s="7"/>
      <c r="C392" s="7"/>
      <c r="D392" s="7"/>
      <c r="E392" s="7"/>
      <c r="F392" s="7"/>
    </row>
    <row r="393" ht="15.75" customHeight="1">
      <c r="A393" s="7"/>
      <c r="B393" s="7"/>
      <c r="C393" s="7"/>
      <c r="D393" s="7"/>
      <c r="E393" s="7"/>
      <c r="F393" s="7"/>
    </row>
    <row r="394" ht="15.75" customHeight="1">
      <c r="A394" s="7"/>
      <c r="B394" s="7"/>
      <c r="C394" s="7"/>
      <c r="D394" s="7"/>
      <c r="E394" s="7"/>
      <c r="F394" s="7"/>
    </row>
    <row r="395" ht="15.75" customHeight="1">
      <c r="A395" s="7"/>
      <c r="B395" s="7"/>
      <c r="C395" s="7"/>
      <c r="D395" s="7"/>
      <c r="E395" s="7"/>
      <c r="F395" s="7"/>
    </row>
    <row r="396" ht="15.75" customHeight="1">
      <c r="A396" s="7"/>
      <c r="B396" s="7"/>
      <c r="C396" s="7"/>
      <c r="D396" s="7"/>
      <c r="E396" s="7"/>
      <c r="F396" s="7"/>
    </row>
    <row r="397" ht="15.75" customHeight="1">
      <c r="A397" s="7"/>
      <c r="B397" s="7"/>
      <c r="C397" s="7"/>
      <c r="D397" s="7"/>
      <c r="E397" s="7"/>
      <c r="F397" s="7"/>
    </row>
    <row r="398" ht="15.75" customHeight="1">
      <c r="A398" s="7"/>
      <c r="B398" s="7"/>
      <c r="C398" s="7"/>
      <c r="D398" s="7"/>
      <c r="E398" s="7"/>
      <c r="F398" s="7"/>
    </row>
    <row r="399" ht="15.75" customHeight="1">
      <c r="A399" s="7"/>
      <c r="B399" s="7"/>
      <c r="C399" s="7"/>
      <c r="D399" s="7"/>
      <c r="E399" s="7"/>
      <c r="F399" s="7"/>
    </row>
    <row r="400" ht="15.75" customHeight="1">
      <c r="A400" s="7"/>
      <c r="B400" s="7"/>
      <c r="C400" s="7"/>
      <c r="D400" s="7"/>
      <c r="E400" s="7"/>
      <c r="F400" s="7"/>
    </row>
    <row r="401" ht="15.75" customHeight="1">
      <c r="A401" s="7"/>
      <c r="B401" s="7"/>
      <c r="C401" s="7"/>
      <c r="D401" s="7"/>
      <c r="E401" s="7"/>
      <c r="F401" s="7"/>
    </row>
    <row r="402" ht="15.75" customHeight="1">
      <c r="A402" s="7"/>
      <c r="B402" s="7"/>
      <c r="C402" s="7"/>
      <c r="D402" s="7"/>
      <c r="E402" s="7"/>
      <c r="F402" s="7"/>
    </row>
    <row r="403" ht="15.75" customHeight="1">
      <c r="A403" s="7"/>
      <c r="B403" s="7"/>
      <c r="C403" s="7"/>
      <c r="D403" s="7"/>
      <c r="E403" s="7"/>
      <c r="F403" s="7"/>
    </row>
    <row r="404" ht="15.75" customHeight="1">
      <c r="A404" s="7"/>
      <c r="B404" s="7"/>
      <c r="C404" s="7"/>
      <c r="D404" s="7"/>
      <c r="E404" s="7"/>
      <c r="F404" s="7"/>
    </row>
    <row r="405" ht="15.75" customHeight="1">
      <c r="A405" s="7"/>
      <c r="B405" s="7"/>
      <c r="C405" s="7"/>
      <c r="D405" s="7"/>
      <c r="E405" s="7"/>
      <c r="F405" s="7"/>
    </row>
    <row r="406" ht="15.75" customHeight="1">
      <c r="A406" s="7"/>
      <c r="B406" s="7"/>
      <c r="C406" s="7"/>
      <c r="D406" s="7"/>
      <c r="E406" s="7"/>
      <c r="F406" s="7"/>
    </row>
    <row r="407" ht="15.75" customHeight="1">
      <c r="A407" s="7"/>
      <c r="B407" s="7"/>
      <c r="C407" s="7"/>
      <c r="D407" s="7"/>
      <c r="E407" s="7"/>
      <c r="F407" s="7"/>
    </row>
    <row r="408" ht="15.75" customHeight="1">
      <c r="A408" s="7"/>
      <c r="B408" s="7"/>
      <c r="C408" s="7"/>
      <c r="D408" s="7"/>
      <c r="E408" s="7"/>
      <c r="F408" s="7"/>
    </row>
    <row r="409" ht="15.75" customHeight="1">
      <c r="A409" s="7"/>
      <c r="B409" s="7"/>
      <c r="C409" s="7"/>
      <c r="D409" s="7"/>
      <c r="E409" s="7"/>
      <c r="F409" s="7"/>
    </row>
    <row r="410" ht="15.75" customHeight="1">
      <c r="A410" s="7"/>
      <c r="B410" s="7"/>
      <c r="C410" s="7"/>
      <c r="D410" s="7"/>
      <c r="E410" s="7"/>
      <c r="F410" s="7"/>
    </row>
    <row r="411" ht="15.75" customHeight="1">
      <c r="A411" s="7"/>
      <c r="B411" s="7"/>
      <c r="C411" s="7"/>
      <c r="D411" s="7"/>
      <c r="E411" s="7"/>
      <c r="F411" s="7"/>
    </row>
    <row r="412" ht="15.75" customHeight="1">
      <c r="A412" s="7"/>
      <c r="B412" s="7"/>
      <c r="C412" s="7"/>
      <c r="D412" s="7"/>
      <c r="E412" s="7"/>
      <c r="F412" s="7"/>
    </row>
    <row r="413" ht="15.75" customHeight="1">
      <c r="A413" s="7"/>
      <c r="B413" s="7"/>
      <c r="C413" s="7"/>
      <c r="D413" s="7"/>
      <c r="E413" s="7"/>
      <c r="F413" s="7"/>
    </row>
    <row r="414" ht="15.75" customHeight="1">
      <c r="A414" s="7"/>
      <c r="B414" s="7"/>
      <c r="C414" s="7"/>
      <c r="D414" s="7"/>
      <c r="E414" s="7"/>
      <c r="F414" s="7"/>
    </row>
    <row r="415" ht="15.75" customHeight="1">
      <c r="A415" s="7"/>
      <c r="B415" s="7"/>
      <c r="C415" s="7"/>
      <c r="D415" s="7"/>
      <c r="E415" s="7"/>
      <c r="F415" s="7"/>
    </row>
    <row r="416" ht="15.75" customHeight="1">
      <c r="A416" s="7"/>
      <c r="B416" s="7"/>
      <c r="C416" s="7"/>
      <c r="D416" s="7"/>
      <c r="E416" s="7"/>
      <c r="F416" s="7"/>
    </row>
    <row r="417" ht="15.75" customHeight="1">
      <c r="A417" s="7"/>
      <c r="B417" s="7"/>
      <c r="C417" s="7"/>
      <c r="D417" s="7"/>
      <c r="E417" s="7"/>
      <c r="F417" s="7"/>
    </row>
    <row r="418" ht="15.75" customHeight="1">
      <c r="A418" s="7"/>
      <c r="B418" s="7"/>
      <c r="C418" s="7"/>
      <c r="D418" s="7"/>
      <c r="E418" s="7"/>
      <c r="F418" s="7"/>
    </row>
    <row r="419" ht="15.75" customHeight="1">
      <c r="A419" s="7"/>
      <c r="B419" s="7"/>
      <c r="C419" s="7"/>
      <c r="D419" s="7"/>
      <c r="E419" s="7"/>
      <c r="F419" s="7"/>
    </row>
    <row r="420" ht="15.75" customHeight="1">
      <c r="A420" s="7"/>
      <c r="B420" s="7"/>
      <c r="C420" s="7"/>
      <c r="D420" s="7"/>
      <c r="E420" s="7"/>
      <c r="F420" s="7"/>
    </row>
    <row r="421" ht="15.75" customHeight="1">
      <c r="A421" s="7"/>
      <c r="B421" s="7"/>
      <c r="C421" s="7"/>
      <c r="D421" s="7"/>
      <c r="E421" s="7"/>
      <c r="F421" s="7"/>
    </row>
    <row r="422" ht="15.75" customHeight="1">
      <c r="A422" s="7"/>
      <c r="B422" s="7"/>
      <c r="C422" s="7"/>
      <c r="D422" s="7"/>
      <c r="E422" s="7"/>
      <c r="F422" s="7"/>
    </row>
    <row r="423" ht="15.75" customHeight="1">
      <c r="A423" s="7"/>
      <c r="B423" s="7"/>
      <c r="C423" s="7"/>
      <c r="D423" s="7"/>
      <c r="E423" s="7"/>
      <c r="F423" s="7"/>
    </row>
    <row r="424" ht="15.75" customHeight="1">
      <c r="A424" s="7"/>
      <c r="B424" s="7"/>
      <c r="C424" s="7"/>
      <c r="D424" s="7"/>
      <c r="E424" s="7"/>
      <c r="F424" s="7"/>
    </row>
    <row r="425" ht="15.75" customHeight="1">
      <c r="A425" s="7"/>
      <c r="B425" s="7"/>
      <c r="C425" s="7"/>
      <c r="D425" s="7"/>
      <c r="E425" s="7"/>
      <c r="F425" s="7"/>
    </row>
    <row r="426" ht="15.75" customHeight="1">
      <c r="A426" s="7"/>
      <c r="B426" s="7"/>
      <c r="C426" s="7"/>
      <c r="D426" s="7"/>
      <c r="E426" s="7"/>
      <c r="F426" s="7"/>
    </row>
    <row r="427" ht="15.75" customHeight="1">
      <c r="A427" s="7"/>
      <c r="B427" s="7"/>
      <c r="C427" s="7"/>
      <c r="D427" s="7"/>
      <c r="E427" s="7"/>
      <c r="F427" s="7"/>
    </row>
    <row r="428" ht="15.75" customHeight="1">
      <c r="A428" s="7"/>
      <c r="B428" s="7"/>
      <c r="C428" s="7"/>
      <c r="D428" s="7"/>
      <c r="E428" s="7"/>
      <c r="F428" s="7"/>
    </row>
    <row r="429" ht="15.75" customHeight="1">
      <c r="A429" s="7"/>
      <c r="B429" s="7"/>
      <c r="C429" s="7"/>
      <c r="D429" s="7"/>
      <c r="E429" s="7"/>
      <c r="F429" s="7"/>
    </row>
    <row r="430" ht="15.75" customHeight="1">
      <c r="A430" s="7"/>
      <c r="B430" s="7"/>
      <c r="C430" s="7"/>
      <c r="D430" s="7"/>
      <c r="E430" s="7"/>
      <c r="F430" s="7"/>
    </row>
    <row r="431" ht="15.75" customHeight="1">
      <c r="A431" s="7"/>
      <c r="B431" s="7"/>
      <c r="C431" s="7"/>
      <c r="D431" s="7"/>
      <c r="E431" s="7"/>
      <c r="F431" s="7"/>
    </row>
    <row r="432" ht="15.75" customHeight="1">
      <c r="A432" s="7"/>
      <c r="B432" s="7"/>
      <c r="C432" s="7"/>
      <c r="D432" s="7"/>
      <c r="E432" s="7"/>
      <c r="F432" s="7"/>
    </row>
    <row r="433" ht="15.75" customHeight="1">
      <c r="A433" s="7"/>
      <c r="B433" s="7"/>
      <c r="C433" s="7"/>
      <c r="D433" s="7"/>
      <c r="E433" s="7"/>
      <c r="F433" s="7"/>
    </row>
    <row r="434" ht="15.75" customHeight="1">
      <c r="A434" s="7"/>
      <c r="B434" s="7"/>
      <c r="C434" s="7"/>
      <c r="D434" s="7"/>
      <c r="E434" s="7"/>
      <c r="F434" s="7"/>
    </row>
    <row r="435" ht="15.75" customHeight="1">
      <c r="A435" s="7"/>
      <c r="B435" s="7"/>
      <c r="C435" s="7"/>
      <c r="D435" s="7"/>
      <c r="E435" s="7"/>
      <c r="F435" s="7"/>
    </row>
    <row r="436" ht="15.75" customHeight="1">
      <c r="A436" s="7"/>
      <c r="B436" s="7"/>
      <c r="C436" s="7"/>
      <c r="D436" s="7"/>
      <c r="E436" s="7"/>
      <c r="F436" s="7"/>
    </row>
    <row r="437" ht="15.75" customHeight="1">
      <c r="A437" s="7"/>
      <c r="B437" s="7"/>
      <c r="C437" s="7"/>
      <c r="D437" s="7"/>
      <c r="E437" s="7"/>
      <c r="F437" s="7"/>
    </row>
    <row r="438" ht="15.75" customHeight="1">
      <c r="A438" s="7"/>
      <c r="B438" s="7"/>
      <c r="C438" s="7"/>
      <c r="D438" s="7"/>
      <c r="E438" s="7"/>
      <c r="F438" s="7"/>
    </row>
    <row r="439" ht="15.75" customHeight="1">
      <c r="A439" s="7"/>
      <c r="B439" s="7"/>
      <c r="C439" s="7"/>
      <c r="D439" s="7"/>
      <c r="E439" s="7"/>
      <c r="F439" s="7"/>
    </row>
    <row r="440" ht="15.75" customHeight="1">
      <c r="A440" s="7"/>
      <c r="B440" s="7"/>
      <c r="C440" s="7"/>
      <c r="D440" s="7"/>
      <c r="E440" s="7"/>
      <c r="F440" s="7"/>
    </row>
    <row r="441" ht="15.75" customHeight="1">
      <c r="A441" s="7"/>
      <c r="B441" s="7"/>
      <c r="C441" s="7"/>
      <c r="D441" s="7"/>
      <c r="E441" s="7"/>
      <c r="F441" s="7"/>
    </row>
    <row r="442" ht="15.75" customHeight="1">
      <c r="A442" s="7"/>
      <c r="B442" s="7"/>
      <c r="C442" s="7"/>
      <c r="D442" s="7"/>
      <c r="E442" s="7"/>
      <c r="F442" s="7"/>
    </row>
    <row r="443" ht="15.75" customHeight="1">
      <c r="A443" s="7"/>
      <c r="B443" s="7"/>
      <c r="C443" s="7"/>
      <c r="D443" s="7"/>
      <c r="E443" s="7"/>
      <c r="F443" s="7"/>
    </row>
    <row r="444" ht="15.75" customHeight="1">
      <c r="A444" s="7"/>
      <c r="B444" s="7"/>
      <c r="C444" s="7"/>
      <c r="D444" s="7"/>
      <c r="E444" s="7"/>
      <c r="F444" s="7"/>
    </row>
    <row r="445" ht="15.75" customHeight="1">
      <c r="A445" s="7"/>
      <c r="B445" s="7"/>
      <c r="C445" s="7"/>
      <c r="D445" s="7"/>
      <c r="E445" s="7"/>
      <c r="F445" s="7"/>
    </row>
    <row r="446" ht="15.75" customHeight="1">
      <c r="A446" s="7"/>
      <c r="B446" s="7"/>
      <c r="C446" s="7"/>
      <c r="D446" s="7"/>
      <c r="E446" s="7"/>
      <c r="F446" s="7"/>
    </row>
    <row r="447" ht="15.75" customHeight="1">
      <c r="A447" s="7"/>
      <c r="B447" s="7"/>
      <c r="C447" s="7"/>
      <c r="D447" s="7"/>
      <c r="E447" s="7"/>
      <c r="F447" s="7"/>
    </row>
    <row r="448" ht="15.75" customHeight="1">
      <c r="A448" s="7"/>
      <c r="B448" s="7"/>
      <c r="C448" s="7"/>
      <c r="D448" s="7"/>
      <c r="E448" s="7"/>
      <c r="F448" s="7"/>
    </row>
    <row r="449" ht="15.75" customHeight="1">
      <c r="A449" s="7"/>
      <c r="B449" s="7"/>
      <c r="C449" s="7"/>
      <c r="D449" s="7"/>
      <c r="E449" s="7"/>
      <c r="F449" s="7"/>
    </row>
    <row r="450" ht="15.75" customHeight="1">
      <c r="A450" s="7"/>
      <c r="B450" s="7"/>
      <c r="C450" s="7"/>
      <c r="D450" s="7"/>
      <c r="E450" s="7"/>
      <c r="F450" s="7"/>
    </row>
    <row r="451" ht="15.75" customHeight="1">
      <c r="A451" s="7"/>
      <c r="B451" s="7"/>
      <c r="C451" s="7"/>
      <c r="D451" s="7"/>
      <c r="E451" s="7"/>
      <c r="F451" s="7"/>
    </row>
    <row r="452" ht="15.75" customHeight="1">
      <c r="A452" s="7"/>
      <c r="B452" s="7"/>
      <c r="C452" s="7"/>
      <c r="D452" s="7"/>
      <c r="E452" s="7"/>
      <c r="F452" s="7"/>
    </row>
    <row r="453" ht="15.75" customHeight="1">
      <c r="A453" s="7"/>
      <c r="B453" s="7"/>
      <c r="C453" s="7"/>
      <c r="D453" s="7"/>
      <c r="E453" s="7"/>
      <c r="F453" s="7"/>
    </row>
    <row r="454" ht="15.75" customHeight="1">
      <c r="A454" s="7"/>
      <c r="B454" s="7"/>
      <c r="C454" s="7"/>
      <c r="D454" s="7"/>
      <c r="E454" s="7"/>
      <c r="F454" s="7"/>
    </row>
    <row r="455" ht="15.75" customHeight="1">
      <c r="A455" s="7"/>
      <c r="B455" s="7"/>
      <c r="C455" s="7"/>
      <c r="D455" s="7"/>
      <c r="E455" s="7"/>
      <c r="F455" s="7"/>
    </row>
    <row r="456" ht="15.75" customHeight="1">
      <c r="A456" s="7"/>
      <c r="B456" s="7"/>
      <c r="C456" s="7"/>
      <c r="D456" s="7"/>
      <c r="E456" s="7"/>
      <c r="F456" s="7"/>
    </row>
    <row r="457" ht="15.75" customHeight="1">
      <c r="A457" s="7"/>
      <c r="B457" s="7"/>
      <c r="C457" s="7"/>
      <c r="D457" s="7"/>
      <c r="E457" s="7"/>
      <c r="F457" s="7"/>
    </row>
    <row r="458" ht="15.75" customHeight="1">
      <c r="A458" s="7"/>
      <c r="B458" s="7"/>
      <c r="C458" s="7"/>
      <c r="D458" s="7"/>
      <c r="E458" s="7"/>
      <c r="F458" s="7"/>
    </row>
    <row r="459" ht="15.75" customHeight="1">
      <c r="A459" s="7"/>
      <c r="B459" s="7"/>
      <c r="C459" s="7"/>
      <c r="D459" s="7"/>
      <c r="E459" s="7"/>
      <c r="F459" s="7"/>
    </row>
    <row r="460" ht="15.75" customHeight="1">
      <c r="A460" s="7"/>
      <c r="B460" s="7"/>
      <c r="C460" s="7"/>
      <c r="D460" s="7"/>
      <c r="E460" s="7"/>
      <c r="F460" s="7"/>
    </row>
    <row r="461" ht="15.75" customHeight="1">
      <c r="A461" s="7"/>
      <c r="B461" s="7"/>
      <c r="C461" s="7"/>
      <c r="D461" s="7"/>
      <c r="E461" s="7"/>
      <c r="F461" s="7"/>
    </row>
    <row r="462" ht="15.75" customHeight="1">
      <c r="A462" s="7"/>
      <c r="B462" s="7"/>
      <c r="C462" s="7"/>
      <c r="D462" s="7"/>
      <c r="E462" s="7"/>
      <c r="F462" s="7"/>
    </row>
    <row r="463" ht="15.75" customHeight="1">
      <c r="A463" s="7"/>
      <c r="B463" s="7"/>
      <c r="C463" s="7"/>
      <c r="D463" s="7"/>
      <c r="E463" s="7"/>
      <c r="F463" s="7"/>
    </row>
    <row r="464" ht="15.75" customHeight="1">
      <c r="A464" s="7"/>
      <c r="B464" s="7"/>
      <c r="C464" s="7"/>
      <c r="D464" s="7"/>
      <c r="E464" s="7"/>
      <c r="F464" s="7"/>
    </row>
    <row r="465" ht="15.75" customHeight="1">
      <c r="A465" s="7"/>
      <c r="B465" s="7"/>
      <c r="C465" s="7"/>
      <c r="D465" s="7"/>
      <c r="E465" s="7"/>
      <c r="F465" s="7"/>
    </row>
    <row r="466" ht="15.75" customHeight="1">
      <c r="A466" s="7"/>
      <c r="B466" s="7"/>
      <c r="C466" s="7"/>
      <c r="D466" s="7"/>
      <c r="E466" s="7"/>
      <c r="F466" s="7"/>
    </row>
    <row r="467" ht="15.75" customHeight="1">
      <c r="A467" s="7"/>
      <c r="B467" s="7"/>
      <c r="C467" s="7"/>
      <c r="D467" s="7"/>
      <c r="E467" s="7"/>
      <c r="F467" s="7"/>
    </row>
    <row r="468" ht="15.75" customHeight="1">
      <c r="A468" s="7"/>
      <c r="B468" s="7"/>
      <c r="C468" s="7"/>
      <c r="D468" s="7"/>
      <c r="E468" s="7"/>
      <c r="F468" s="7"/>
    </row>
    <row r="469" ht="15.75" customHeight="1">
      <c r="A469" s="7"/>
      <c r="B469" s="7"/>
      <c r="C469" s="7"/>
      <c r="D469" s="7"/>
      <c r="E469" s="7"/>
      <c r="F469" s="7"/>
    </row>
    <row r="470" ht="15.75" customHeight="1">
      <c r="A470" s="7"/>
      <c r="B470" s="7"/>
      <c r="C470" s="7"/>
      <c r="D470" s="7"/>
      <c r="E470" s="7"/>
      <c r="F470" s="7"/>
    </row>
    <row r="471" ht="15.75" customHeight="1">
      <c r="A471" s="7"/>
      <c r="B471" s="7"/>
      <c r="C471" s="7"/>
      <c r="D471" s="7"/>
      <c r="E471" s="7"/>
      <c r="F471" s="7"/>
    </row>
    <row r="472" ht="15.75" customHeight="1">
      <c r="A472" s="7"/>
      <c r="B472" s="7"/>
      <c r="C472" s="7"/>
      <c r="D472" s="7"/>
      <c r="E472" s="7"/>
      <c r="F472" s="7"/>
    </row>
    <row r="473" ht="15.75" customHeight="1">
      <c r="A473" s="7"/>
      <c r="B473" s="7"/>
      <c r="C473" s="7"/>
      <c r="D473" s="7"/>
      <c r="E473" s="7"/>
      <c r="F473" s="7"/>
    </row>
    <row r="474" ht="15.75" customHeight="1">
      <c r="A474" s="7"/>
      <c r="B474" s="7"/>
      <c r="C474" s="7"/>
      <c r="D474" s="7"/>
      <c r="E474" s="7"/>
      <c r="F474" s="7"/>
    </row>
    <row r="475" ht="15.75" customHeight="1">
      <c r="A475" s="7"/>
      <c r="B475" s="7"/>
      <c r="C475" s="7"/>
      <c r="D475" s="7"/>
      <c r="E475" s="7"/>
      <c r="F475" s="7"/>
    </row>
    <row r="476" ht="15.75" customHeight="1">
      <c r="A476" s="7"/>
      <c r="B476" s="7"/>
      <c r="C476" s="7"/>
      <c r="D476" s="7"/>
      <c r="E476" s="7"/>
      <c r="F476" s="7"/>
    </row>
    <row r="477" ht="15.75" customHeight="1">
      <c r="A477" s="7"/>
      <c r="B477" s="7"/>
      <c r="C477" s="7"/>
      <c r="D477" s="7"/>
      <c r="E477" s="7"/>
      <c r="F477" s="7"/>
    </row>
    <row r="478" ht="15.75" customHeight="1">
      <c r="A478" s="7"/>
      <c r="B478" s="7"/>
      <c r="C478" s="7"/>
      <c r="D478" s="7"/>
      <c r="E478" s="7"/>
      <c r="F478" s="7"/>
    </row>
    <row r="479" ht="15.75" customHeight="1">
      <c r="A479" s="7"/>
      <c r="B479" s="7"/>
      <c r="C479" s="7"/>
      <c r="D479" s="7"/>
      <c r="E479" s="7"/>
      <c r="F479" s="7"/>
    </row>
    <row r="480" ht="15.75" customHeight="1">
      <c r="A480" s="7"/>
      <c r="B480" s="7"/>
      <c r="C480" s="7"/>
      <c r="D480" s="7"/>
      <c r="E480" s="7"/>
      <c r="F480" s="7"/>
    </row>
    <row r="481" ht="15.75" customHeight="1">
      <c r="A481" s="7"/>
      <c r="B481" s="7"/>
      <c r="C481" s="7"/>
      <c r="D481" s="7"/>
      <c r="E481" s="7"/>
      <c r="F481" s="7"/>
    </row>
    <row r="482" ht="15.75" customHeight="1">
      <c r="A482" s="7"/>
      <c r="B482" s="7"/>
      <c r="C482" s="7"/>
      <c r="D482" s="7"/>
      <c r="E482" s="7"/>
      <c r="F482" s="7"/>
    </row>
    <row r="483" ht="15.75" customHeight="1">
      <c r="A483" s="7"/>
      <c r="B483" s="7"/>
      <c r="C483" s="7"/>
      <c r="D483" s="7"/>
      <c r="E483" s="7"/>
      <c r="F483" s="7"/>
    </row>
    <row r="484" ht="15.75" customHeight="1">
      <c r="A484" s="7"/>
      <c r="B484" s="7"/>
      <c r="C484" s="7"/>
      <c r="D484" s="7"/>
      <c r="E484" s="7"/>
      <c r="F484" s="7"/>
    </row>
    <row r="485" ht="15.75" customHeight="1">
      <c r="A485" s="7"/>
      <c r="B485" s="7"/>
      <c r="C485" s="7"/>
      <c r="D485" s="7"/>
      <c r="E485" s="7"/>
      <c r="F485" s="7"/>
    </row>
    <row r="486" ht="15.75" customHeight="1">
      <c r="A486" s="7"/>
      <c r="B486" s="7"/>
      <c r="C486" s="7"/>
      <c r="D486" s="7"/>
      <c r="E486" s="7"/>
      <c r="F486" s="7"/>
    </row>
    <row r="487" ht="15.75" customHeight="1">
      <c r="A487" s="7"/>
      <c r="B487" s="7"/>
      <c r="C487" s="7"/>
      <c r="D487" s="7"/>
      <c r="E487" s="7"/>
      <c r="F487" s="7"/>
    </row>
    <row r="488" ht="15.75" customHeight="1">
      <c r="A488" s="7"/>
      <c r="B488" s="7"/>
      <c r="C488" s="7"/>
      <c r="D488" s="7"/>
      <c r="E488" s="7"/>
      <c r="F488" s="7"/>
    </row>
    <row r="489" ht="15.75" customHeight="1">
      <c r="A489" s="7"/>
      <c r="B489" s="7"/>
      <c r="C489" s="7"/>
      <c r="D489" s="7"/>
      <c r="E489" s="7"/>
      <c r="F489" s="7"/>
    </row>
    <row r="490" ht="15.75" customHeight="1">
      <c r="A490" s="7"/>
      <c r="B490" s="7"/>
      <c r="C490" s="7"/>
      <c r="D490" s="7"/>
      <c r="E490" s="7"/>
      <c r="F490" s="7"/>
    </row>
    <row r="491" ht="15.75" customHeight="1">
      <c r="A491" s="7"/>
      <c r="B491" s="7"/>
      <c r="C491" s="7"/>
      <c r="D491" s="7"/>
      <c r="E491" s="7"/>
      <c r="F491" s="7"/>
    </row>
    <row r="492" ht="15.75" customHeight="1">
      <c r="A492" s="7"/>
      <c r="B492" s="7"/>
      <c r="C492" s="7"/>
      <c r="D492" s="7"/>
      <c r="E492" s="7"/>
      <c r="F492" s="7"/>
    </row>
    <row r="493" ht="15.75" customHeight="1">
      <c r="A493" s="7"/>
      <c r="B493" s="7"/>
      <c r="C493" s="7"/>
      <c r="D493" s="7"/>
      <c r="E493" s="7"/>
      <c r="F493" s="7"/>
    </row>
    <row r="494" ht="15.75" customHeight="1">
      <c r="A494" s="7"/>
      <c r="B494" s="7"/>
      <c r="C494" s="7"/>
      <c r="D494" s="7"/>
      <c r="E494" s="7"/>
      <c r="F494" s="7"/>
    </row>
    <row r="495" ht="15.75" customHeight="1">
      <c r="A495" s="7"/>
      <c r="B495" s="7"/>
      <c r="C495" s="7"/>
      <c r="D495" s="7"/>
      <c r="E495" s="7"/>
      <c r="F495" s="7"/>
    </row>
    <row r="496" ht="15.75" customHeight="1">
      <c r="A496" s="7"/>
      <c r="B496" s="7"/>
      <c r="C496" s="7"/>
      <c r="D496" s="7"/>
      <c r="E496" s="7"/>
      <c r="F496" s="7"/>
    </row>
    <row r="497" ht="15.75" customHeight="1">
      <c r="A497" s="7"/>
      <c r="B497" s="7"/>
      <c r="C497" s="7"/>
      <c r="D497" s="7"/>
      <c r="E497" s="7"/>
      <c r="F497" s="7"/>
    </row>
    <row r="498" ht="15.75" customHeight="1">
      <c r="A498" s="7"/>
      <c r="B498" s="7"/>
      <c r="C498" s="7"/>
      <c r="D498" s="7"/>
      <c r="E498" s="7"/>
      <c r="F498" s="7"/>
    </row>
    <row r="499" ht="15.75" customHeight="1">
      <c r="A499" s="7"/>
      <c r="B499" s="7"/>
      <c r="C499" s="7"/>
      <c r="D499" s="7"/>
      <c r="E499" s="7"/>
      <c r="F499" s="7"/>
    </row>
    <row r="500" ht="15.75" customHeight="1">
      <c r="A500" s="7"/>
      <c r="B500" s="7"/>
      <c r="C500" s="7"/>
      <c r="D500" s="7"/>
      <c r="E500" s="7"/>
      <c r="F500" s="7"/>
    </row>
    <row r="501" ht="15.75" customHeight="1">
      <c r="A501" s="7"/>
      <c r="B501" s="7"/>
      <c r="C501" s="7"/>
      <c r="D501" s="7"/>
      <c r="E501" s="7"/>
      <c r="F501" s="7"/>
    </row>
    <row r="502" ht="15.75" customHeight="1">
      <c r="A502" s="7"/>
      <c r="B502" s="7"/>
      <c r="C502" s="7"/>
      <c r="D502" s="7"/>
      <c r="E502" s="7"/>
      <c r="F502" s="7"/>
    </row>
    <row r="503" ht="15.75" customHeight="1">
      <c r="A503" s="7"/>
      <c r="B503" s="7"/>
      <c r="C503" s="7"/>
      <c r="D503" s="7"/>
      <c r="E503" s="7"/>
      <c r="F503" s="7"/>
    </row>
    <row r="504" ht="15.75" customHeight="1">
      <c r="A504" s="7"/>
      <c r="B504" s="7"/>
      <c r="C504" s="7"/>
      <c r="D504" s="7"/>
      <c r="E504" s="7"/>
      <c r="F504" s="7"/>
    </row>
    <row r="505" ht="15.75" customHeight="1">
      <c r="A505" s="7"/>
      <c r="B505" s="7"/>
      <c r="C505" s="7"/>
      <c r="D505" s="7"/>
      <c r="E505" s="7"/>
      <c r="F505" s="7"/>
    </row>
    <row r="506" ht="15.75" customHeight="1">
      <c r="A506" s="7"/>
      <c r="B506" s="7"/>
      <c r="C506" s="7"/>
      <c r="D506" s="7"/>
      <c r="E506" s="7"/>
      <c r="F506" s="7"/>
    </row>
    <row r="507" ht="15.75" customHeight="1">
      <c r="A507" s="7"/>
      <c r="B507" s="7"/>
      <c r="C507" s="7"/>
      <c r="D507" s="7"/>
      <c r="E507" s="7"/>
      <c r="F507" s="7"/>
    </row>
    <row r="508" ht="15.75" customHeight="1">
      <c r="A508" s="7"/>
      <c r="B508" s="7"/>
      <c r="C508" s="7"/>
      <c r="D508" s="7"/>
      <c r="E508" s="7"/>
      <c r="F508" s="7"/>
    </row>
    <row r="509" ht="15.75" customHeight="1">
      <c r="A509" s="7"/>
      <c r="B509" s="7"/>
      <c r="C509" s="7"/>
      <c r="D509" s="7"/>
      <c r="E509" s="7"/>
      <c r="F509" s="7"/>
    </row>
    <row r="510" ht="15.75" customHeight="1">
      <c r="A510" s="7"/>
      <c r="B510" s="7"/>
      <c r="C510" s="7"/>
      <c r="D510" s="7"/>
      <c r="E510" s="7"/>
      <c r="F510" s="7"/>
    </row>
    <row r="511" ht="15.75" customHeight="1">
      <c r="A511" s="7"/>
      <c r="B511" s="7"/>
      <c r="C511" s="7"/>
      <c r="D511" s="7"/>
      <c r="E511" s="7"/>
      <c r="F511" s="7"/>
    </row>
    <row r="512" ht="15.75" customHeight="1">
      <c r="A512" s="7"/>
      <c r="B512" s="7"/>
      <c r="C512" s="7"/>
      <c r="D512" s="7"/>
      <c r="E512" s="7"/>
      <c r="F512" s="7"/>
    </row>
    <row r="513" ht="15.75" customHeight="1">
      <c r="A513" s="7"/>
      <c r="B513" s="7"/>
      <c r="C513" s="7"/>
      <c r="D513" s="7"/>
      <c r="E513" s="7"/>
      <c r="F513" s="7"/>
    </row>
    <row r="514" ht="15.75" customHeight="1">
      <c r="A514" s="7"/>
      <c r="B514" s="7"/>
      <c r="C514" s="7"/>
      <c r="D514" s="7"/>
      <c r="E514" s="7"/>
      <c r="F514" s="7"/>
    </row>
    <row r="515" ht="15.75" customHeight="1">
      <c r="A515" s="7"/>
      <c r="B515" s="7"/>
      <c r="C515" s="7"/>
      <c r="D515" s="7"/>
      <c r="E515" s="7"/>
      <c r="F515" s="7"/>
    </row>
    <row r="516" ht="15.75" customHeight="1">
      <c r="A516" s="7"/>
      <c r="B516" s="7"/>
      <c r="C516" s="7"/>
      <c r="D516" s="7"/>
      <c r="E516" s="7"/>
      <c r="F516" s="7"/>
    </row>
    <row r="517" ht="15.75" customHeight="1">
      <c r="A517" s="7"/>
      <c r="B517" s="7"/>
      <c r="C517" s="7"/>
      <c r="D517" s="7"/>
      <c r="E517" s="7"/>
      <c r="F517" s="7"/>
    </row>
    <row r="518" ht="15.75" customHeight="1">
      <c r="A518" s="7"/>
      <c r="B518" s="7"/>
      <c r="C518" s="7"/>
      <c r="D518" s="7"/>
      <c r="E518" s="7"/>
      <c r="F518" s="7"/>
    </row>
    <row r="519" ht="15.75" customHeight="1">
      <c r="A519" s="7"/>
      <c r="B519" s="7"/>
      <c r="C519" s="7"/>
      <c r="D519" s="7"/>
      <c r="E519" s="7"/>
      <c r="F519" s="7"/>
    </row>
    <row r="520" ht="15.75" customHeight="1">
      <c r="A520" s="7"/>
      <c r="B520" s="7"/>
      <c r="C520" s="7"/>
      <c r="D520" s="7"/>
      <c r="E520" s="7"/>
      <c r="F520" s="7"/>
    </row>
    <row r="521" ht="15.75" customHeight="1">
      <c r="A521" s="7"/>
      <c r="B521" s="7"/>
      <c r="C521" s="7"/>
      <c r="D521" s="7"/>
      <c r="E521" s="7"/>
      <c r="F521" s="7"/>
    </row>
    <row r="522" ht="15.75" customHeight="1">
      <c r="A522" s="7"/>
      <c r="B522" s="7"/>
      <c r="C522" s="7"/>
      <c r="D522" s="7"/>
      <c r="E522" s="7"/>
      <c r="F522" s="7"/>
    </row>
    <row r="523" ht="15.75" customHeight="1">
      <c r="A523" s="7"/>
      <c r="B523" s="7"/>
      <c r="C523" s="7"/>
      <c r="D523" s="7"/>
      <c r="E523" s="7"/>
      <c r="F523" s="7"/>
    </row>
    <row r="524" ht="15.75" customHeight="1">
      <c r="A524" s="7"/>
      <c r="B524" s="7"/>
      <c r="C524" s="7"/>
      <c r="D524" s="7"/>
      <c r="E524" s="7"/>
      <c r="F524" s="7"/>
    </row>
    <row r="525" ht="15.75" customHeight="1">
      <c r="A525" s="7"/>
      <c r="B525" s="7"/>
      <c r="C525" s="7"/>
      <c r="D525" s="7"/>
      <c r="E525" s="7"/>
      <c r="F525" s="7"/>
    </row>
    <row r="526" ht="15.75" customHeight="1">
      <c r="A526" s="7"/>
      <c r="B526" s="7"/>
      <c r="C526" s="7"/>
      <c r="D526" s="7"/>
      <c r="E526" s="7"/>
      <c r="F526" s="7"/>
    </row>
    <row r="527" ht="15.75" customHeight="1">
      <c r="A527" s="7"/>
      <c r="B527" s="7"/>
      <c r="C527" s="7"/>
      <c r="D527" s="7"/>
      <c r="E527" s="7"/>
      <c r="F527" s="7"/>
    </row>
    <row r="528" ht="15.75" customHeight="1">
      <c r="A528" s="7"/>
      <c r="B528" s="7"/>
      <c r="C528" s="7"/>
      <c r="D528" s="7"/>
      <c r="E528" s="7"/>
      <c r="F528" s="7"/>
    </row>
    <row r="529" ht="15.75" customHeight="1">
      <c r="A529" s="7"/>
      <c r="B529" s="7"/>
      <c r="C529" s="7"/>
      <c r="D529" s="7"/>
      <c r="E529" s="7"/>
      <c r="F529" s="7"/>
    </row>
    <row r="530" ht="15.75" customHeight="1">
      <c r="A530" s="7"/>
      <c r="B530" s="7"/>
      <c r="C530" s="7"/>
      <c r="D530" s="7"/>
      <c r="E530" s="7"/>
      <c r="F530" s="7"/>
    </row>
    <row r="531" ht="15.75" customHeight="1">
      <c r="A531" s="7"/>
      <c r="B531" s="7"/>
      <c r="C531" s="7"/>
      <c r="D531" s="7"/>
      <c r="E531" s="7"/>
      <c r="F531" s="7"/>
    </row>
    <row r="532" ht="15.75" customHeight="1">
      <c r="A532" s="7"/>
      <c r="B532" s="7"/>
      <c r="C532" s="7"/>
      <c r="D532" s="7"/>
      <c r="E532" s="7"/>
      <c r="F532" s="7"/>
    </row>
    <row r="533" ht="15.75" customHeight="1">
      <c r="A533" s="7"/>
      <c r="B533" s="7"/>
      <c r="C533" s="7"/>
      <c r="D533" s="7"/>
      <c r="E533" s="7"/>
      <c r="F533" s="7"/>
    </row>
    <row r="534" ht="15.75" customHeight="1">
      <c r="A534" s="7"/>
      <c r="B534" s="7"/>
      <c r="C534" s="7"/>
      <c r="D534" s="7"/>
      <c r="E534" s="7"/>
      <c r="F534" s="7"/>
    </row>
    <row r="535" ht="15.75" customHeight="1">
      <c r="A535" s="7"/>
      <c r="B535" s="7"/>
      <c r="C535" s="7"/>
      <c r="D535" s="7"/>
      <c r="E535" s="7"/>
      <c r="F535" s="7"/>
    </row>
    <row r="536" ht="15.75" customHeight="1">
      <c r="A536" s="7"/>
      <c r="B536" s="7"/>
      <c r="C536" s="7"/>
      <c r="D536" s="7"/>
      <c r="E536" s="7"/>
      <c r="F536" s="7"/>
    </row>
    <row r="537" ht="15.75" customHeight="1">
      <c r="A537" s="7"/>
      <c r="B537" s="7"/>
      <c r="C537" s="7"/>
      <c r="D537" s="7"/>
      <c r="E537" s="7"/>
      <c r="F537" s="7"/>
    </row>
    <row r="538" ht="15.75" customHeight="1">
      <c r="A538" s="7"/>
      <c r="B538" s="7"/>
      <c r="C538" s="7"/>
      <c r="D538" s="7"/>
      <c r="E538" s="7"/>
      <c r="F538" s="7"/>
    </row>
    <row r="539" ht="15.75" customHeight="1">
      <c r="A539" s="7"/>
      <c r="B539" s="7"/>
      <c r="C539" s="7"/>
      <c r="D539" s="7"/>
      <c r="E539" s="7"/>
      <c r="F539" s="7"/>
    </row>
    <row r="540" ht="15.75" customHeight="1">
      <c r="A540" s="7"/>
      <c r="B540" s="7"/>
      <c r="C540" s="7"/>
      <c r="D540" s="7"/>
      <c r="E540" s="7"/>
      <c r="F540" s="7"/>
    </row>
    <row r="541" ht="15.75" customHeight="1">
      <c r="A541" s="7"/>
      <c r="B541" s="7"/>
      <c r="C541" s="7"/>
      <c r="D541" s="7"/>
      <c r="E541" s="7"/>
      <c r="F541" s="7"/>
    </row>
    <row r="542" ht="15.75" customHeight="1">
      <c r="A542" s="7"/>
      <c r="B542" s="7"/>
      <c r="C542" s="7"/>
      <c r="D542" s="7"/>
      <c r="E542" s="7"/>
      <c r="F542" s="7"/>
    </row>
    <row r="543" ht="15.75" customHeight="1">
      <c r="A543" s="7"/>
      <c r="B543" s="7"/>
      <c r="C543" s="7"/>
      <c r="D543" s="7"/>
      <c r="E543" s="7"/>
      <c r="F543" s="7"/>
    </row>
    <row r="544" ht="15.75" customHeight="1">
      <c r="A544" s="7"/>
      <c r="B544" s="7"/>
      <c r="C544" s="7"/>
      <c r="D544" s="7"/>
      <c r="E544" s="7"/>
      <c r="F544" s="7"/>
    </row>
    <row r="545" ht="15.75" customHeight="1">
      <c r="A545" s="7"/>
      <c r="B545" s="7"/>
      <c r="C545" s="7"/>
      <c r="D545" s="7"/>
      <c r="E545" s="7"/>
      <c r="F545" s="7"/>
    </row>
    <row r="546" ht="15.75" customHeight="1">
      <c r="A546" s="7"/>
      <c r="B546" s="7"/>
      <c r="C546" s="7"/>
      <c r="D546" s="7"/>
      <c r="E546" s="7"/>
      <c r="F546" s="7"/>
    </row>
    <row r="547" ht="15.75" customHeight="1">
      <c r="A547" s="7"/>
      <c r="B547" s="7"/>
      <c r="C547" s="7"/>
      <c r="D547" s="7"/>
      <c r="E547" s="7"/>
      <c r="F547" s="7"/>
    </row>
    <row r="548" ht="15.75" customHeight="1">
      <c r="A548" s="7"/>
      <c r="B548" s="7"/>
      <c r="C548" s="7"/>
      <c r="D548" s="7"/>
      <c r="E548" s="7"/>
      <c r="F548" s="7"/>
    </row>
    <row r="549" ht="15.75" customHeight="1">
      <c r="A549" s="7"/>
      <c r="B549" s="7"/>
      <c r="C549" s="7"/>
      <c r="D549" s="7"/>
      <c r="E549" s="7"/>
      <c r="F549" s="7"/>
    </row>
    <row r="550" ht="15.75" customHeight="1">
      <c r="A550" s="7"/>
      <c r="B550" s="7"/>
      <c r="C550" s="7"/>
      <c r="D550" s="7"/>
      <c r="E550" s="7"/>
      <c r="F550" s="7"/>
    </row>
    <row r="551" ht="15.75" customHeight="1">
      <c r="A551" s="7"/>
      <c r="B551" s="7"/>
      <c r="C551" s="7"/>
      <c r="D551" s="7"/>
      <c r="E551" s="7"/>
      <c r="F551" s="7"/>
    </row>
    <row r="552" ht="15.75" customHeight="1">
      <c r="A552" s="7"/>
      <c r="B552" s="7"/>
      <c r="C552" s="7"/>
      <c r="D552" s="7"/>
      <c r="E552" s="7"/>
      <c r="F552" s="7"/>
    </row>
    <row r="553" ht="15.75" customHeight="1">
      <c r="A553" s="7"/>
      <c r="B553" s="7"/>
      <c r="C553" s="7"/>
      <c r="D553" s="7"/>
      <c r="E553" s="7"/>
      <c r="F553" s="7"/>
    </row>
    <row r="554" ht="15.75" customHeight="1">
      <c r="A554" s="7"/>
      <c r="B554" s="7"/>
      <c r="C554" s="7"/>
      <c r="D554" s="7"/>
      <c r="E554" s="7"/>
      <c r="F554" s="7"/>
    </row>
    <row r="555" ht="15.75" customHeight="1">
      <c r="A555" s="7"/>
      <c r="B555" s="7"/>
      <c r="C555" s="7"/>
      <c r="D555" s="7"/>
      <c r="E555" s="7"/>
      <c r="F555" s="7"/>
    </row>
    <row r="556" ht="15.75" customHeight="1">
      <c r="A556" s="7"/>
      <c r="B556" s="7"/>
      <c r="C556" s="7"/>
      <c r="D556" s="7"/>
      <c r="E556" s="7"/>
      <c r="F556" s="7"/>
    </row>
    <row r="557" ht="15.75" customHeight="1">
      <c r="A557" s="7"/>
      <c r="B557" s="7"/>
      <c r="C557" s="7"/>
      <c r="D557" s="7"/>
      <c r="E557" s="7"/>
      <c r="F557" s="7"/>
    </row>
    <row r="558" ht="15.75" customHeight="1">
      <c r="A558" s="7"/>
      <c r="B558" s="7"/>
      <c r="C558" s="7"/>
      <c r="D558" s="7"/>
      <c r="E558" s="7"/>
      <c r="F558" s="7"/>
    </row>
    <row r="559" ht="15.75" customHeight="1">
      <c r="A559" s="7"/>
      <c r="B559" s="7"/>
      <c r="C559" s="7"/>
      <c r="D559" s="7"/>
      <c r="E559" s="7"/>
      <c r="F559" s="7"/>
    </row>
    <row r="560" ht="15.75" customHeight="1">
      <c r="A560" s="7"/>
      <c r="B560" s="7"/>
      <c r="C560" s="7"/>
      <c r="D560" s="7"/>
      <c r="E560" s="7"/>
      <c r="F560" s="7"/>
    </row>
    <row r="561" ht="15.75" customHeight="1">
      <c r="A561" s="7"/>
      <c r="B561" s="7"/>
      <c r="C561" s="7"/>
      <c r="D561" s="7"/>
      <c r="E561" s="7"/>
      <c r="F561" s="7"/>
    </row>
    <row r="562" ht="15.75" customHeight="1">
      <c r="A562" s="7"/>
      <c r="B562" s="7"/>
      <c r="C562" s="7"/>
      <c r="D562" s="7"/>
      <c r="E562" s="7"/>
      <c r="F562" s="7"/>
    </row>
    <row r="563" ht="15.75" customHeight="1">
      <c r="A563" s="7"/>
      <c r="B563" s="7"/>
      <c r="C563" s="7"/>
      <c r="D563" s="7"/>
      <c r="E563" s="7"/>
      <c r="F563" s="7"/>
    </row>
    <row r="564" ht="15.75" customHeight="1">
      <c r="A564" s="7"/>
      <c r="B564" s="7"/>
      <c r="C564" s="7"/>
      <c r="D564" s="7"/>
      <c r="E564" s="7"/>
      <c r="F564" s="7"/>
    </row>
    <row r="565" ht="15.75" customHeight="1">
      <c r="A565" s="7"/>
      <c r="B565" s="7"/>
      <c r="C565" s="7"/>
      <c r="D565" s="7"/>
      <c r="E565" s="7"/>
      <c r="F565" s="7"/>
    </row>
    <row r="566" ht="15.75" customHeight="1">
      <c r="A566" s="7"/>
      <c r="B566" s="7"/>
      <c r="C566" s="7"/>
      <c r="D566" s="7"/>
      <c r="E566" s="7"/>
      <c r="F566" s="7"/>
    </row>
    <row r="567" ht="15.75" customHeight="1">
      <c r="A567" s="7"/>
      <c r="B567" s="7"/>
      <c r="C567" s="7"/>
      <c r="D567" s="7"/>
      <c r="E567" s="7"/>
      <c r="F567" s="7"/>
    </row>
    <row r="568" ht="15.75" customHeight="1">
      <c r="A568" s="7"/>
      <c r="B568" s="7"/>
      <c r="C568" s="7"/>
      <c r="D568" s="7"/>
      <c r="E568" s="7"/>
      <c r="F568" s="7"/>
    </row>
    <row r="569" ht="15.75" customHeight="1">
      <c r="A569" s="7"/>
      <c r="B569" s="7"/>
      <c r="C569" s="7"/>
      <c r="D569" s="7"/>
      <c r="E569" s="7"/>
      <c r="F569" s="7"/>
    </row>
    <row r="570" ht="15.75" customHeight="1">
      <c r="A570" s="7"/>
      <c r="B570" s="7"/>
      <c r="C570" s="7"/>
      <c r="D570" s="7"/>
      <c r="E570" s="7"/>
      <c r="F570" s="7"/>
    </row>
    <row r="571" ht="15.75" customHeight="1">
      <c r="A571" s="7"/>
      <c r="B571" s="7"/>
      <c r="C571" s="7"/>
      <c r="D571" s="7"/>
      <c r="E571" s="7"/>
      <c r="F571" s="7"/>
    </row>
    <row r="572" ht="15.75" customHeight="1">
      <c r="A572" s="7"/>
      <c r="B572" s="7"/>
      <c r="C572" s="7"/>
      <c r="D572" s="7"/>
      <c r="E572" s="7"/>
      <c r="F572" s="7"/>
    </row>
    <row r="573" ht="15.75" customHeight="1">
      <c r="A573" s="7"/>
      <c r="B573" s="7"/>
      <c r="C573" s="7"/>
      <c r="D573" s="7"/>
      <c r="E573" s="7"/>
      <c r="F573" s="7"/>
    </row>
    <row r="574" ht="15.75" customHeight="1">
      <c r="A574" s="7"/>
      <c r="B574" s="7"/>
      <c r="C574" s="7"/>
      <c r="D574" s="7"/>
      <c r="E574" s="7"/>
      <c r="F574" s="7"/>
    </row>
    <row r="575" ht="15.75" customHeight="1">
      <c r="A575" s="7"/>
      <c r="B575" s="7"/>
      <c r="C575" s="7"/>
      <c r="D575" s="7"/>
      <c r="E575" s="7"/>
      <c r="F575" s="7"/>
    </row>
    <row r="576" ht="15.75" customHeight="1">
      <c r="A576" s="7"/>
      <c r="B576" s="7"/>
      <c r="C576" s="7"/>
      <c r="D576" s="7"/>
      <c r="E576" s="7"/>
      <c r="F576" s="7"/>
    </row>
    <row r="577" ht="15.75" customHeight="1">
      <c r="A577" s="7"/>
      <c r="B577" s="7"/>
      <c r="C577" s="7"/>
      <c r="D577" s="7"/>
      <c r="E577" s="7"/>
      <c r="F577" s="7"/>
    </row>
    <row r="578" ht="15.75" customHeight="1">
      <c r="A578" s="7"/>
      <c r="B578" s="7"/>
      <c r="C578" s="7"/>
      <c r="D578" s="7"/>
      <c r="E578" s="7"/>
      <c r="F578" s="7"/>
    </row>
    <row r="579" ht="15.75" customHeight="1">
      <c r="A579" s="7"/>
      <c r="B579" s="7"/>
      <c r="C579" s="7"/>
      <c r="D579" s="7"/>
      <c r="E579" s="7"/>
      <c r="F579" s="7"/>
    </row>
    <row r="580" ht="15.75" customHeight="1">
      <c r="A580" s="7"/>
      <c r="B580" s="7"/>
      <c r="C580" s="7"/>
      <c r="D580" s="7"/>
      <c r="E580" s="7"/>
      <c r="F580" s="7"/>
    </row>
    <row r="581" ht="15.75" customHeight="1">
      <c r="A581" s="7"/>
      <c r="B581" s="7"/>
      <c r="C581" s="7"/>
      <c r="D581" s="7"/>
      <c r="E581" s="7"/>
      <c r="F581" s="7"/>
    </row>
    <row r="582" ht="15.75" customHeight="1">
      <c r="A582" s="7"/>
      <c r="B582" s="7"/>
      <c r="C582" s="7"/>
      <c r="D582" s="7"/>
      <c r="E582" s="7"/>
      <c r="F582" s="7"/>
    </row>
    <row r="583" ht="15.75" customHeight="1">
      <c r="A583" s="7"/>
      <c r="B583" s="7"/>
      <c r="C583" s="7"/>
      <c r="D583" s="7"/>
      <c r="E583" s="7"/>
      <c r="F583" s="7"/>
    </row>
    <row r="584" ht="15.75" customHeight="1">
      <c r="A584" s="7"/>
      <c r="B584" s="7"/>
      <c r="C584" s="7"/>
      <c r="D584" s="7"/>
      <c r="E584" s="7"/>
      <c r="F584" s="7"/>
    </row>
    <row r="585" ht="15.75" customHeight="1">
      <c r="A585" s="7"/>
      <c r="B585" s="7"/>
      <c r="C585" s="7"/>
      <c r="D585" s="7"/>
      <c r="E585" s="7"/>
      <c r="F585" s="7"/>
    </row>
    <row r="586" ht="15.75" customHeight="1">
      <c r="A586" s="7"/>
      <c r="B586" s="7"/>
      <c r="C586" s="7"/>
      <c r="D586" s="7"/>
      <c r="E586" s="7"/>
      <c r="F586" s="7"/>
    </row>
    <row r="587" ht="15.75" customHeight="1">
      <c r="A587" s="7"/>
      <c r="B587" s="7"/>
      <c r="C587" s="7"/>
      <c r="D587" s="7"/>
      <c r="E587" s="7"/>
      <c r="F587" s="7"/>
    </row>
    <row r="588" ht="15.75" customHeight="1">
      <c r="A588" s="7"/>
      <c r="B588" s="7"/>
      <c r="C588" s="7"/>
      <c r="D588" s="7"/>
      <c r="E588" s="7"/>
      <c r="F588" s="7"/>
    </row>
    <row r="589" ht="15.75" customHeight="1">
      <c r="A589" s="7"/>
      <c r="B589" s="7"/>
      <c r="C589" s="7"/>
      <c r="D589" s="7"/>
      <c r="E589" s="7"/>
      <c r="F589" s="7"/>
    </row>
    <row r="590" ht="15.75" customHeight="1">
      <c r="A590" s="7"/>
      <c r="B590" s="7"/>
      <c r="C590" s="7"/>
      <c r="D590" s="7"/>
      <c r="E590" s="7"/>
      <c r="F590" s="7"/>
    </row>
    <row r="591" ht="15.75" customHeight="1">
      <c r="A591" s="7"/>
      <c r="B591" s="7"/>
      <c r="C591" s="7"/>
      <c r="D591" s="7"/>
      <c r="E591" s="7"/>
      <c r="F591" s="7"/>
    </row>
    <row r="592" ht="15.75" customHeight="1">
      <c r="A592" s="7"/>
      <c r="B592" s="7"/>
      <c r="C592" s="7"/>
      <c r="D592" s="7"/>
      <c r="E592" s="7"/>
      <c r="F592" s="7"/>
    </row>
    <row r="593" ht="15.75" customHeight="1">
      <c r="A593" s="7"/>
      <c r="B593" s="7"/>
      <c r="C593" s="7"/>
      <c r="D593" s="7"/>
      <c r="E593" s="7"/>
      <c r="F593" s="7"/>
    </row>
    <row r="594" ht="15.75" customHeight="1">
      <c r="A594" s="7"/>
      <c r="B594" s="7"/>
      <c r="C594" s="7"/>
      <c r="D594" s="7"/>
      <c r="E594" s="7"/>
      <c r="F594" s="7"/>
    </row>
    <row r="595" ht="15.75" customHeight="1">
      <c r="A595" s="7"/>
      <c r="B595" s="7"/>
      <c r="C595" s="7"/>
      <c r="D595" s="7"/>
      <c r="E595" s="7"/>
      <c r="F595" s="7"/>
    </row>
    <row r="596" ht="15.75" customHeight="1">
      <c r="A596" s="7"/>
      <c r="B596" s="7"/>
      <c r="C596" s="7"/>
      <c r="D596" s="7"/>
      <c r="E596" s="7"/>
      <c r="F596" s="7"/>
    </row>
    <row r="597" ht="15.75" customHeight="1">
      <c r="A597" s="7"/>
      <c r="B597" s="7"/>
      <c r="C597" s="7"/>
      <c r="D597" s="7"/>
      <c r="E597" s="7"/>
      <c r="F597" s="7"/>
    </row>
    <row r="598" ht="15.75" customHeight="1">
      <c r="A598" s="7"/>
      <c r="B598" s="7"/>
      <c r="C598" s="7"/>
      <c r="D598" s="7"/>
      <c r="E598" s="7"/>
      <c r="F598" s="7"/>
    </row>
    <row r="599" ht="15.75" customHeight="1">
      <c r="A599" s="7"/>
      <c r="B599" s="7"/>
      <c r="C599" s="7"/>
      <c r="D599" s="7"/>
      <c r="E599" s="7"/>
      <c r="F599" s="7"/>
    </row>
    <row r="600" ht="15.75" customHeight="1">
      <c r="A600" s="7"/>
      <c r="B600" s="7"/>
      <c r="C600" s="7"/>
      <c r="D600" s="7"/>
      <c r="E600" s="7"/>
      <c r="F600" s="7"/>
    </row>
    <row r="601" ht="15.75" customHeight="1">
      <c r="A601" s="7"/>
      <c r="B601" s="7"/>
      <c r="C601" s="7"/>
      <c r="D601" s="7"/>
      <c r="E601" s="7"/>
      <c r="F601" s="7"/>
    </row>
    <row r="602" ht="15.75" customHeight="1">
      <c r="A602" s="7"/>
      <c r="B602" s="7"/>
      <c r="C602" s="7"/>
      <c r="D602" s="7"/>
      <c r="E602" s="7"/>
      <c r="F602" s="7"/>
    </row>
    <row r="603" ht="15.75" customHeight="1">
      <c r="A603" s="7"/>
      <c r="B603" s="7"/>
      <c r="C603" s="7"/>
      <c r="D603" s="7"/>
      <c r="E603" s="7"/>
      <c r="F603" s="7"/>
    </row>
    <row r="604" ht="15.75" customHeight="1">
      <c r="A604" s="7"/>
      <c r="B604" s="7"/>
      <c r="C604" s="7"/>
      <c r="D604" s="7"/>
      <c r="E604" s="7"/>
      <c r="F604" s="7"/>
    </row>
    <row r="605" ht="15.75" customHeight="1">
      <c r="A605" s="7"/>
      <c r="B605" s="7"/>
      <c r="C605" s="7"/>
      <c r="D605" s="7"/>
      <c r="E605" s="7"/>
      <c r="F605" s="7"/>
    </row>
    <row r="606" ht="15.75" customHeight="1">
      <c r="A606" s="7"/>
      <c r="B606" s="7"/>
      <c r="C606" s="7"/>
      <c r="D606" s="7"/>
      <c r="E606" s="7"/>
      <c r="F606" s="7"/>
    </row>
    <row r="607" ht="15.75" customHeight="1">
      <c r="A607" s="7"/>
      <c r="B607" s="7"/>
      <c r="C607" s="7"/>
      <c r="D607" s="7"/>
      <c r="E607" s="7"/>
      <c r="F607" s="7"/>
    </row>
    <row r="608" ht="15.75" customHeight="1">
      <c r="A608" s="7"/>
      <c r="B608" s="7"/>
      <c r="C608" s="7"/>
      <c r="D608" s="7"/>
      <c r="E608" s="7"/>
      <c r="F608" s="7"/>
    </row>
    <row r="609" ht="15.75" customHeight="1">
      <c r="A609" s="7"/>
      <c r="B609" s="7"/>
      <c r="C609" s="7"/>
      <c r="D609" s="7"/>
      <c r="E609" s="7"/>
      <c r="F609" s="7"/>
    </row>
    <row r="610" ht="15.75" customHeight="1">
      <c r="A610" s="7"/>
      <c r="B610" s="7"/>
      <c r="C610" s="7"/>
      <c r="D610" s="7"/>
      <c r="E610" s="7"/>
      <c r="F610" s="7"/>
    </row>
    <row r="611" ht="15.75" customHeight="1">
      <c r="A611" s="7"/>
      <c r="B611" s="7"/>
      <c r="C611" s="7"/>
      <c r="D611" s="7"/>
      <c r="E611" s="7"/>
      <c r="F611" s="7"/>
    </row>
    <row r="612" ht="15.75" customHeight="1">
      <c r="A612" s="7"/>
      <c r="B612" s="7"/>
      <c r="C612" s="7"/>
      <c r="D612" s="7"/>
      <c r="E612" s="7"/>
      <c r="F612" s="7"/>
    </row>
    <row r="613" ht="15.75" customHeight="1">
      <c r="A613" s="7"/>
      <c r="B613" s="7"/>
      <c r="C613" s="7"/>
      <c r="D613" s="7"/>
      <c r="E613" s="7"/>
      <c r="F613" s="7"/>
    </row>
    <row r="614" ht="15.75" customHeight="1">
      <c r="A614" s="7"/>
      <c r="B614" s="7"/>
      <c r="C614" s="7"/>
      <c r="D614" s="7"/>
      <c r="E614" s="7"/>
      <c r="F614" s="7"/>
    </row>
    <row r="615" ht="15.75" customHeight="1">
      <c r="A615" s="7"/>
      <c r="B615" s="7"/>
      <c r="C615" s="7"/>
      <c r="D615" s="7"/>
      <c r="E615" s="7"/>
      <c r="F615" s="7"/>
    </row>
    <row r="616" ht="15.75" customHeight="1">
      <c r="A616" s="7"/>
      <c r="B616" s="7"/>
      <c r="C616" s="7"/>
      <c r="D616" s="7"/>
      <c r="E616" s="7"/>
      <c r="F616" s="7"/>
    </row>
    <row r="617" ht="15.75" customHeight="1">
      <c r="A617" s="7"/>
      <c r="B617" s="7"/>
      <c r="C617" s="7"/>
      <c r="D617" s="7"/>
      <c r="E617" s="7"/>
      <c r="F617" s="7"/>
    </row>
    <row r="618" ht="15.75" customHeight="1">
      <c r="A618" s="7"/>
      <c r="B618" s="7"/>
      <c r="C618" s="7"/>
      <c r="D618" s="7"/>
      <c r="E618" s="7"/>
      <c r="F618" s="7"/>
    </row>
    <row r="619" ht="15.75" customHeight="1">
      <c r="A619" s="7"/>
      <c r="B619" s="7"/>
      <c r="C619" s="7"/>
      <c r="D619" s="7"/>
      <c r="E619" s="7"/>
      <c r="F619" s="7"/>
    </row>
    <row r="620" ht="15.75" customHeight="1">
      <c r="A620" s="7"/>
      <c r="B620" s="7"/>
      <c r="C620" s="7"/>
      <c r="D620" s="7"/>
      <c r="E620" s="7"/>
      <c r="F620" s="7"/>
    </row>
    <row r="621" ht="15.75" customHeight="1">
      <c r="A621" s="7"/>
      <c r="B621" s="7"/>
      <c r="C621" s="7"/>
      <c r="D621" s="7"/>
      <c r="E621" s="7"/>
      <c r="F621" s="7"/>
    </row>
    <row r="622" ht="15.75" customHeight="1">
      <c r="A622" s="7"/>
      <c r="B622" s="7"/>
      <c r="C622" s="7"/>
      <c r="D622" s="7"/>
      <c r="E622" s="7"/>
      <c r="F622" s="7"/>
    </row>
    <row r="623" ht="15.75" customHeight="1">
      <c r="A623" s="7"/>
      <c r="B623" s="7"/>
      <c r="C623" s="7"/>
      <c r="D623" s="7"/>
      <c r="E623" s="7"/>
      <c r="F623" s="7"/>
    </row>
    <row r="624" ht="15.75" customHeight="1">
      <c r="A624" s="7"/>
      <c r="B624" s="7"/>
      <c r="C624" s="7"/>
      <c r="D624" s="7"/>
      <c r="E624" s="7"/>
      <c r="F624" s="7"/>
    </row>
    <row r="625" ht="15.75" customHeight="1">
      <c r="A625" s="7"/>
      <c r="B625" s="7"/>
      <c r="C625" s="7"/>
      <c r="D625" s="7"/>
      <c r="E625" s="7"/>
      <c r="F625" s="7"/>
    </row>
    <row r="626" ht="15.75" customHeight="1">
      <c r="A626" s="7"/>
      <c r="B626" s="7"/>
      <c r="C626" s="7"/>
      <c r="D626" s="7"/>
      <c r="E626" s="7"/>
      <c r="F626" s="7"/>
    </row>
    <row r="627" ht="15.75" customHeight="1">
      <c r="A627" s="7"/>
      <c r="B627" s="7"/>
      <c r="C627" s="7"/>
      <c r="D627" s="7"/>
      <c r="E627" s="7"/>
      <c r="F627" s="7"/>
    </row>
    <row r="628" ht="15.75" customHeight="1">
      <c r="A628" s="7"/>
      <c r="B628" s="7"/>
      <c r="C628" s="7"/>
      <c r="D628" s="7"/>
      <c r="E628" s="7"/>
      <c r="F628" s="7"/>
    </row>
    <row r="629" ht="15.75" customHeight="1">
      <c r="A629" s="7"/>
      <c r="B629" s="7"/>
      <c r="C629" s="7"/>
      <c r="D629" s="7"/>
      <c r="E629" s="7"/>
      <c r="F629" s="7"/>
    </row>
    <row r="630" ht="15.75" customHeight="1">
      <c r="A630" s="7"/>
      <c r="B630" s="7"/>
      <c r="C630" s="7"/>
      <c r="D630" s="7"/>
      <c r="E630" s="7"/>
      <c r="F630" s="7"/>
    </row>
    <row r="631" ht="15.75" customHeight="1">
      <c r="A631" s="7"/>
      <c r="B631" s="7"/>
      <c r="C631" s="7"/>
      <c r="D631" s="7"/>
      <c r="E631" s="7"/>
      <c r="F631" s="7"/>
    </row>
    <row r="632" ht="15.75" customHeight="1">
      <c r="A632" s="7"/>
      <c r="B632" s="7"/>
      <c r="C632" s="7"/>
      <c r="D632" s="7"/>
      <c r="E632" s="7"/>
      <c r="F632" s="7"/>
    </row>
    <row r="633" ht="15.75" customHeight="1">
      <c r="A633" s="7"/>
      <c r="B633" s="7"/>
      <c r="C633" s="7"/>
      <c r="D633" s="7"/>
      <c r="E633" s="7"/>
      <c r="F633" s="7"/>
    </row>
    <row r="634" ht="15.75" customHeight="1">
      <c r="A634" s="7"/>
      <c r="B634" s="7"/>
      <c r="C634" s="7"/>
      <c r="D634" s="7"/>
      <c r="E634" s="7"/>
      <c r="F634" s="7"/>
    </row>
    <row r="635" ht="15.75" customHeight="1">
      <c r="A635" s="7"/>
      <c r="B635" s="7"/>
      <c r="C635" s="7"/>
      <c r="D635" s="7"/>
      <c r="E635" s="7"/>
      <c r="F635" s="7"/>
    </row>
    <row r="636" ht="15.75" customHeight="1">
      <c r="A636" s="7"/>
      <c r="B636" s="7"/>
      <c r="C636" s="7"/>
      <c r="D636" s="7"/>
      <c r="E636" s="7"/>
      <c r="F636" s="7"/>
    </row>
    <row r="637" ht="15.75" customHeight="1">
      <c r="A637" s="7"/>
      <c r="B637" s="7"/>
      <c r="C637" s="7"/>
      <c r="D637" s="7"/>
      <c r="E637" s="7"/>
      <c r="F637" s="7"/>
    </row>
    <row r="638" ht="15.75" customHeight="1">
      <c r="A638" s="7"/>
      <c r="B638" s="7"/>
      <c r="C638" s="7"/>
      <c r="D638" s="7"/>
      <c r="E638" s="7"/>
      <c r="F638" s="7"/>
    </row>
    <row r="639" ht="15.75" customHeight="1">
      <c r="A639" s="7"/>
      <c r="B639" s="7"/>
      <c r="C639" s="7"/>
      <c r="D639" s="7"/>
      <c r="E639" s="7"/>
      <c r="F639" s="7"/>
    </row>
    <row r="640" ht="15.75" customHeight="1">
      <c r="A640" s="7"/>
      <c r="B640" s="7"/>
      <c r="C640" s="7"/>
      <c r="D640" s="7"/>
      <c r="E640" s="7"/>
      <c r="F640" s="7"/>
    </row>
    <row r="641" ht="15.75" customHeight="1">
      <c r="A641" s="7"/>
      <c r="B641" s="7"/>
      <c r="C641" s="7"/>
      <c r="D641" s="7"/>
      <c r="E641" s="7"/>
      <c r="F641" s="7"/>
    </row>
    <row r="642" ht="15.75" customHeight="1">
      <c r="A642" s="7"/>
      <c r="B642" s="7"/>
      <c r="C642" s="7"/>
      <c r="D642" s="7"/>
      <c r="E642" s="7"/>
      <c r="F642" s="7"/>
    </row>
    <row r="643" ht="15.75" customHeight="1">
      <c r="A643" s="7"/>
      <c r="B643" s="7"/>
      <c r="C643" s="7"/>
      <c r="D643" s="7"/>
      <c r="E643" s="7"/>
      <c r="F643" s="7"/>
    </row>
    <row r="644" ht="15.75" customHeight="1">
      <c r="A644" s="7"/>
      <c r="B644" s="7"/>
      <c r="C644" s="7"/>
      <c r="D644" s="7"/>
      <c r="E644" s="7"/>
      <c r="F644" s="7"/>
    </row>
    <row r="645" ht="15.75" customHeight="1">
      <c r="A645" s="7"/>
      <c r="B645" s="7"/>
      <c r="C645" s="7"/>
      <c r="D645" s="7"/>
      <c r="E645" s="7"/>
      <c r="F645" s="7"/>
    </row>
    <row r="646" ht="15.75" customHeight="1">
      <c r="A646" s="7"/>
      <c r="B646" s="7"/>
      <c r="C646" s="7"/>
      <c r="D646" s="7"/>
      <c r="E646" s="7"/>
      <c r="F646" s="7"/>
    </row>
    <row r="647" ht="15.75" customHeight="1">
      <c r="A647" s="7"/>
      <c r="B647" s="7"/>
      <c r="C647" s="7"/>
      <c r="D647" s="7"/>
      <c r="E647" s="7"/>
      <c r="F647" s="7"/>
    </row>
    <row r="648" ht="15.75" customHeight="1">
      <c r="A648" s="7"/>
      <c r="B648" s="7"/>
      <c r="C648" s="7"/>
      <c r="D648" s="7"/>
      <c r="E648" s="7"/>
      <c r="F648" s="7"/>
    </row>
    <row r="649" ht="15.75" customHeight="1">
      <c r="A649" s="7"/>
      <c r="B649" s="7"/>
      <c r="C649" s="7"/>
      <c r="D649" s="7"/>
      <c r="E649" s="7"/>
      <c r="F649" s="7"/>
    </row>
    <row r="650" ht="15.75" customHeight="1">
      <c r="A650" s="7"/>
      <c r="B650" s="7"/>
      <c r="C650" s="7"/>
      <c r="D650" s="7"/>
      <c r="E650" s="7"/>
      <c r="F650" s="7"/>
    </row>
    <row r="651" ht="15.75" customHeight="1">
      <c r="A651" s="7"/>
      <c r="B651" s="7"/>
      <c r="C651" s="7"/>
      <c r="D651" s="7"/>
      <c r="E651" s="7"/>
      <c r="F651" s="7"/>
    </row>
    <row r="652" ht="15.75" customHeight="1">
      <c r="A652" s="7"/>
      <c r="B652" s="7"/>
      <c r="C652" s="7"/>
      <c r="D652" s="7"/>
      <c r="E652" s="7"/>
      <c r="F652" s="7"/>
    </row>
    <row r="653" ht="15.75" customHeight="1">
      <c r="A653" s="7"/>
      <c r="B653" s="7"/>
      <c r="C653" s="7"/>
      <c r="D653" s="7"/>
      <c r="E653" s="7"/>
      <c r="F653" s="7"/>
    </row>
    <row r="654" ht="15.75" customHeight="1">
      <c r="A654" s="7"/>
      <c r="B654" s="7"/>
      <c r="C654" s="7"/>
      <c r="D654" s="7"/>
      <c r="E654" s="7"/>
      <c r="F654" s="7"/>
    </row>
    <row r="655" ht="15.75" customHeight="1">
      <c r="A655" s="7"/>
      <c r="B655" s="7"/>
      <c r="C655" s="7"/>
      <c r="D655" s="7"/>
      <c r="E655" s="7"/>
      <c r="F655" s="7"/>
    </row>
    <row r="656" ht="15.75" customHeight="1">
      <c r="A656" s="7"/>
      <c r="B656" s="7"/>
      <c r="C656" s="7"/>
      <c r="D656" s="7"/>
      <c r="E656" s="7"/>
      <c r="F656" s="7"/>
    </row>
    <row r="657" ht="15.75" customHeight="1">
      <c r="A657" s="7"/>
      <c r="B657" s="7"/>
      <c r="C657" s="7"/>
      <c r="D657" s="7"/>
      <c r="E657" s="7"/>
      <c r="F657" s="7"/>
    </row>
    <row r="658" ht="15.75" customHeight="1">
      <c r="A658" s="7"/>
      <c r="B658" s="7"/>
      <c r="C658" s="7"/>
      <c r="D658" s="7"/>
      <c r="E658" s="7"/>
      <c r="F658" s="7"/>
    </row>
    <row r="659" ht="15.75" customHeight="1">
      <c r="A659" s="7"/>
      <c r="B659" s="7"/>
      <c r="C659" s="7"/>
      <c r="D659" s="7"/>
      <c r="E659" s="7"/>
      <c r="F659" s="7"/>
    </row>
    <row r="660" ht="15.75" customHeight="1">
      <c r="A660" s="7"/>
      <c r="B660" s="7"/>
      <c r="C660" s="7"/>
      <c r="D660" s="7"/>
      <c r="E660" s="7"/>
      <c r="F660" s="7"/>
    </row>
    <row r="661" ht="15.75" customHeight="1">
      <c r="A661" s="7"/>
      <c r="B661" s="7"/>
      <c r="C661" s="7"/>
      <c r="D661" s="7"/>
      <c r="E661" s="7"/>
      <c r="F661" s="7"/>
    </row>
    <row r="662" ht="15.75" customHeight="1">
      <c r="A662" s="7"/>
      <c r="B662" s="7"/>
      <c r="C662" s="7"/>
      <c r="D662" s="7"/>
      <c r="E662" s="7"/>
      <c r="F662" s="7"/>
    </row>
    <row r="663" ht="15.75" customHeight="1">
      <c r="A663" s="7"/>
      <c r="B663" s="7"/>
      <c r="C663" s="7"/>
      <c r="D663" s="7"/>
      <c r="E663" s="7"/>
      <c r="F663" s="7"/>
    </row>
    <row r="664" ht="15.75" customHeight="1">
      <c r="A664" s="7"/>
      <c r="B664" s="7"/>
      <c r="C664" s="7"/>
      <c r="D664" s="7"/>
      <c r="E664" s="7"/>
      <c r="F664" s="7"/>
    </row>
    <row r="665" ht="15.75" customHeight="1">
      <c r="A665" s="7"/>
      <c r="B665" s="7"/>
      <c r="C665" s="7"/>
      <c r="D665" s="7"/>
      <c r="E665" s="7"/>
      <c r="F665" s="7"/>
    </row>
    <row r="666" ht="15.75" customHeight="1">
      <c r="A666" s="7"/>
      <c r="B666" s="7"/>
      <c r="C666" s="7"/>
      <c r="D666" s="7"/>
      <c r="E666" s="7"/>
      <c r="F666" s="7"/>
    </row>
    <row r="667" ht="15.75" customHeight="1">
      <c r="A667" s="7"/>
      <c r="B667" s="7"/>
      <c r="C667" s="7"/>
      <c r="D667" s="7"/>
      <c r="E667" s="7"/>
      <c r="F667" s="7"/>
    </row>
    <row r="668" ht="15.75" customHeight="1">
      <c r="A668" s="7"/>
      <c r="B668" s="7"/>
      <c r="C668" s="7"/>
      <c r="D668" s="7"/>
      <c r="E668" s="7"/>
      <c r="F668" s="7"/>
    </row>
    <row r="669" ht="15.75" customHeight="1">
      <c r="A669" s="7"/>
      <c r="B669" s="7"/>
      <c r="C669" s="7"/>
      <c r="D669" s="7"/>
      <c r="E669" s="7"/>
      <c r="F669" s="7"/>
    </row>
    <row r="670" ht="15.75" customHeight="1">
      <c r="A670" s="7"/>
      <c r="B670" s="7"/>
      <c r="C670" s="7"/>
      <c r="D670" s="7"/>
      <c r="E670" s="7"/>
      <c r="F670" s="7"/>
    </row>
    <row r="671" ht="15.75" customHeight="1">
      <c r="A671" s="7"/>
      <c r="B671" s="7"/>
      <c r="C671" s="7"/>
      <c r="D671" s="7"/>
      <c r="E671" s="7"/>
      <c r="F671" s="7"/>
    </row>
    <row r="672" ht="15.75" customHeight="1">
      <c r="A672" s="7"/>
      <c r="B672" s="7"/>
      <c r="C672" s="7"/>
      <c r="D672" s="7"/>
      <c r="E672" s="7"/>
      <c r="F672" s="7"/>
    </row>
    <row r="673" ht="15.75" customHeight="1">
      <c r="A673" s="7"/>
      <c r="B673" s="7"/>
      <c r="C673" s="7"/>
      <c r="D673" s="7"/>
      <c r="E673" s="7"/>
      <c r="F673" s="7"/>
    </row>
    <row r="674" ht="15.75" customHeight="1">
      <c r="A674" s="7"/>
      <c r="B674" s="7"/>
      <c r="C674" s="7"/>
      <c r="D674" s="7"/>
      <c r="E674" s="7"/>
      <c r="F674" s="7"/>
    </row>
    <row r="675" ht="15.75" customHeight="1">
      <c r="A675" s="7"/>
      <c r="B675" s="7"/>
      <c r="C675" s="7"/>
      <c r="D675" s="7"/>
      <c r="E675" s="7"/>
      <c r="F675" s="7"/>
    </row>
    <row r="676" ht="15.75" customHeight="1">
      <c r="A676" s="7"/>
      <c r="B676" s="7"/>
      <c r="C676" s="7"/>
      <c r="D676" s="7"/>
      <c r="E676" s="7"/>
      <c r="F676" s="7"/>
    </row>
    <row r="677" ht="15.75" customHeight="1">
      <c r="A677" s="7"/>
      <c r="B677" s="7"/>
      <c r="C677" s="7"/>
      <c r="D677" s="7"/>
      <c r="E677" s="7"/>
      <c r="F677" s="7"/>
    </row>
    <row r="678" ht="15.75" customHeight="1">
      <c r="A678" s="7"/>
      <c r="B678" s="7"/>
      <c r="C678" s="7"/>
      <c r="D678" s="7"/>
      <c r="E678" s="7"/>
      <c r="F678" s="7"/>
    </row>
    <row r="679" ht="15.75" customHeight="1">
      <c r="A679" s="7"/>
      <c r="B679" s="7"/>
      <c r="C679" s="7"/>
      <c r="D679" s="7"/>
      <c r="E679" s="7"/>
      <c r="F679" s="7"/>
    </row>
    <row r="680" ht="15.75" customHeight="1">
      <c r="A680" s="7"/>
      <c r="B680" s="7"/>
      <c r="C680" s="7"/>
      <c r="D680" s="7"/>
      <c r="E680" s="7"/>
      <c r="F680" s="7"/>
    </row>
    <row r="681" ht="15.75" customHeight="1">
      <c r="A681" s="7"/>
      <c r="B681" s="7"/>
      <c r="C681" s="7"/>
      <c r="D681" s="7"/>
      <c r="E681" s="7"/>
      <c r="F681" s="7"/>
    </row>
    <row r="682" ht="15.75" customHeight="1">
      <c r="A682" s="7"/>
      <c r="B682" s="7"/>
      <c r="C682" s="7"/>
      <c r="D682" s="7"/>
      <c r="E682" s="7"/>
      <c r="F682" s="7"/>
    </row>
    <row r="683" ht="15.75" customHeight="1">
      <c r="A683" s="7"/>
      <c r="B683" s="7"/>
      <c r="C683" s="7"/>
      <c r="D683" s="7"/>
      <c r="E683" s="7"/>
      <c r="F683" s="7"/>
    </row>
    <row r="684" ht="15.75" customHeight="1">
      <c r="A684" s="7"/>
      <c r="B684" s="7"/>
      <c r="C684" s="7"/>
      <c r="D684" s="7"/>
      <c r="E684" s="7"/>
      <c r="F684" s="7"/>
    </row>
    <row r="685" ht="15.75" customHeight="1">
      <c r="A685" s="7"/>
      <c r="B685" s="7"/>
      <c r="C685" s="7"/>
      <c r="D685" s="7"/>
      <c r="E685" s="7"/>
      <c r="F685" s="7"/>
    </row>
    <row r="686" ht="15.75" customHeight="1">
      <c r="A686" s="7"/>
      <c r="B686" s="7"/>
      <c r="C686" s="7"/>
      <c r="D686" s="7"/>
      <c r="E686" s="7"/>
      <c r="F686" s="7"/>
    </row>
    <row r="687" ht="15.75" customHeight="1">
      <c r="A687" s="7"/>
      <c r="B687" s="7"/>
      <c r="C687" s="7"/>
      <c r="D687" s="7"/>
      <c r="E687" s="7"/>
      <c r="F687" s="7"/>
    </row>
    <row r="688" ht="15.75" customHeight="1">
      <c r="A688" s="7"/>
      <c r="B688" s="7"/>
      <c r="C688" s="7"/>
      <c r="D688" s="7"/>
      <c r="E688" s="7"/>
      <c r="F688" s="7"/>
    </row>
    <row r="689" ht="15.75" customHeight="1">
      <c r="A689" s="7"/>
      <c r="B689" s="7"/>
      <c r="C689" s="7"/>
      <c r="D689" s="7"/>
      <c r="E689" s="7"/>
      <c r="F689" s="7"/>
    </row>
    <row r="690" ht="15.75" customHeight="1">
      <c r="A690" s="7"/>
      <c r="B690" s="7"/>
      <c r="C690" s="7"/>
      <c r="D690" s="7"/>
      <c r="E690" s="7"/>
      <c r="F690" s="7"/>
    </row>
    <row r="691" ht="15.75" customHeight="1">
      <c r="A691" s="7"/>
      <c r="B691" s="7"/>
      <c r="C691" s="7"/>
      <c r="D691" s="7"/>
      <c r="E691" s="7"/>
      <c r="F691" s="7"/>
    </row>
    <row r="692" ht="15.75" customHeight="1">
      <c r="A692" s="7"/>
      <c r="B692" s="7"/>
      <c r="C692" s="7"/>
      <c r="D692" s="7"/>
      <c r="E692" s="7"/>
      <c r="F692" s="7"/>
    </row>
    <row r="693" ht="15.75" customHeight="1">
      <c r="A693" s="7"/>
      <c r="B693" s="7"/>
      <c r="C693" s="7"/>
      <c r="D693" s="7"/>
      <c r="E693" s="7"/>
      <c r="F693" s="7"/>
    </row>
    <row r="694" ht="15.75" customHeight="1">
      <c r="A694" s="7"/>
      <c r="B694" s="7"/>
      <c r="C694" s="7"/>
      <c r="D694" s="7"/>
      <c r="E694" s="7"/>
      <c r="F694" s="7"/>
    </row>
    <row r="695" ht="15.75" customHeight="1">
      <c r="A695" s="7"/>
      <c r="B695" s="7"/>
      <c r="C695" s="7"/>
      <c r="D695" s="7"/>
      <c r="E695" s="7"/>
      <c r="F695" s="7"/>
    </row>
    <row r="696" ht="15.75" customHeight="1">
      <c r="A696" s="7"/>
      <c r="B696" s="7"/>
      <c r="C696" s="7"/>
      <c r="D696" s="7"/>
      <c r="E696" s="7"/>
      <c r="F696" s="7"/>
    </row>
    <row r="697" ht="15.75" customHeight="1">
      <c r="A697" s="7"/>
      <c r="B697" s="7"/>
      <c r="C697" s="7"/>
      <c r="D697" s="7"/>
      <c r="E697" s="7"/>
      <c r="F697" s="7"/>
    </row>
    <row r="698" ht="15.75" customHeight="1">
      <c r="A698" s="7"/>
      <c r="B698" s="7"/>
      <c r="C698" s="7"/>
      <c r="D698" s="7"/>
      <c r="E698" s="7"/>
      <c r="F698" s="7"/>
    </row>
    <row r="699" ht="15.75" customHeight="1">
      <c r="A699" s="7"/>
      <c r="B699" s="7"/>
      <c r="C699" s="7"/>
      <c r="D699" s="7"/>
      <c r="E699" s="7"/>
      <c r="F699" s="7"/>
    </row>
    <row r="700" ht="15.75" customHeight="1">
      <c r="A700" s="7"/>
      <c r="B700" s="7"/>
      <c r="C700" s="7"/>
      <c r="D700" s="7"/>
      <c r="E700" s="7"/>
      <c r="F700" s="7"/>
    </row>
    <row r="701" ht="15.75" customHeight="1">
      <c r="A701" s="7"/>
      <c r="B701" s="7"/>
      <c r="C701" s="7"/>
      <c r="D701" s="7"/>
      <c r="E701" s="7"/>
      <c r="F701" s="7"/>
    </row>
    <row r="702" ht="15.75" customHeight="1">
      <c r="A702" s="7"/>
      <c r="B702" s="7"/>
      <c r="C702" s="7"/>
      <c r="D702" s="7"/>
      <c r="E702" s="7"/>
      <c r="F702" s="7"/>
    </row>
    <row r="703" ht="15.75" customHeight="1">
      <c r="A703" s="7"/>
      <c r="B703" s="7"/>
      <c r="C703" s="7"/>
      <c r="D703" s="7"/>
      <c r="E703" s="7"/>
      <c r="F703" s="7"/>
    </row>
    <row r="704" ht="15.75" customHeight="1">
      <c r="A704" s="7"/>
      <c r="B704" s="7"/>
      <c r="C704" s="7"/>
      <c r="D704" s="7"/>
      <c r="E704" s="7"/>
      <c r="F704" s="7"/>
    </row>
    <row r="705" ht="15.75" customHeight="1">
      <c r="A705" s="7"/>
      <c r="B705" s="7"/>
      <c r="C705" s="7"/>
      <c r="D705" s="7"/>
      <c r="E705" s="7"/>
      <c r="F705" s="7"/>
    </row>
    <row r="706" ht="15.75" customHeight="1">
      <c r="A706" s="7"/>
      <c r="B706" s="7"/>
      <c r="C706" s="7"/>
      <c r="D706" s="7"/>
      <c r="E706" s="7"/>
      <c r="F706" s="7"/>
    </row>
    <row r="707" ht="15.75" customHeight="1">
      <c r="A707" s="7"/>
      <c r="B707" s="7"/>
      <c r="C707" s="7"/>
      <c r="D707" s="7"/>
      <c r="E707" s="7"/>
      <c r="F707" s="7"/>
    </row>
    <row r="708" ht="15.75" customHeight="1">
      <c r="A708" s="7"/>
      <c r="B708" s="7"/>
      <c r="C708" s="7"/>
      <c r="D708" s="7"/>
      <c r="E708" s="7"/>
      <c r="F708" s="7"/>
    </row>
    <row r="709" ht="15.75" customHeight="1">
      <c r="A709" s="7"/>
      <c r="B709" s="7"/>
      <c r="C709" s="7"/>
      <c r="D709" s="7"/>
      <c r="E709" s="7"/>
      <c r="F709" s="7"/>
    </row>
    <row r="710" ht="15.75" customHeight="1">
      <c r="A710" s="7"/>
      <c r="B710" s="7"/>
      <c r="C710" s="7"/>
      <c r="D710" s="7"/>
      <c r="E710" s="7"/>
      <c r="F710" s="7"/>
    </row>
    <row r="711" ht="15.75" customHeight="1">
      <c r="A711" s="7"/>
      <c r="B711" s="7"/>
      <c r="C711" s="7"/>
      <c r="D711" s="7"/>
      <c r="E711" s="7"/>
      <c r="F711" s="7"/>
    </row>
    <row r="712" ht="15.75" customHeight="1">
      <c r="A712" s="7"/>
      <c r="B712" s="7"/>
      <c r="C712" s="7"/>
      <c r="D712" s="7"/>
      <c r="E712" s="7"/>
      <c r="F712" s="7"/>
    </row>
    <row r="713" ht="15.75" customHeight="1">
      <c r="A713" s="7"/>
      <c r="B713" s="7"/>
      <c r="C713" s="7"/>
      <c r="D713" s="7"/>
      <c r="E713" s="7"/>
      <c r="F713" s="7"/>
    </row>
    <row r="714" ht="15.75" customHeight="1">
      <c r="A714" s="7"/>
      <c r="B714" s="7"/>
      <c r="C714" s="7"/>
      <c r="D714" s="7"/>
      <c r="E714" s="7"/>
      <c r="F714" s="7"/>
    </row>
    <row r="715" ht="15.75" customHeight="1">
      <c r="A715" s="7"/>
      <c r="B715" s="7"/>
      <c r="C715" s="7"/>
      <c r="D715" s="7"/>
      <c r="E715" s="7"/>
      <c r="F715" s="7"/>
    </row>
    <row r="716" ht="15.75" customHeight="1">
      <c r="A716" s="7"/>
      <c r="B716" s="7"/>
      <c r="C716" s="7"/>
      <c r="D716" s="7"/>
      <c r="E716" s="7"/>
      <c r="F716" s="7"/>
    </row>
    <row r="717" ht="15.75" customHeight="1">
      <c r="A717" s="7"/>
      <c r="B717" s="7"/>
      <c r="C717" s="7"/>
      <c r="D717" s="7"/>
      <c r="E717" s="7"/>
      <c r="F717" s="7"/>
    </row>
    <row r="718" ht="15.75" customHeight="1">
      <c r="A718" s="7"/>
      <c r="B718" s="7"/>
      <c r="C718" s="7"/>
      <c r="D718" s="7"/>
      <c r="E718" s="7"/>
      <c r="F718" s="7"/>
    </row>
    <row r="719" ht="15.75" customHeight="1">
      <c r="A719" s="7"/>
      <c r="B719" s="7"/>
      <c r="C719" s="7"/>
      <c r="D719" s="7"/>
      <c r="E719" s="7"/>
      <c r="F719" s="7"/>
    </row>
    <row r="720" ht="15.75" customHeight="1">
      <c r="A720" s="7"/>
      <c r="B720" s="7"/>
      <c r="C720" s="7"/>
      <c r="D720" s="7"/>
      <c r="E720" s="7"/>
      <c r="F720" s="7"/>
    </row>
    <row r="721" ht="15.75" customHeight="1">
      <c r="A721" s="7"/>
      <c r="B721" s="7"/>
      <c r="C721" s="7"/>
      <c r="D721" s="7"/>
      <c r="E721" s="7"/>
      <c r="F721" s="7"/>
    </row>
    <row r="722" ht="15.75" customHeight="1">
      <c r="A722" s="7"/>
      <c r="B722" s="7"/>
      <c r="C722" s="7"/>
      <c r="D722" s="7"/>
      <c r="E722" s="7"/>
      <c r="F722" s="7"/>
    </row>
    <row r="723" ht="15.75" customHeight="1">
      <c r="A723" s="7"/>
      <c r="B723" s="7"/>
      <c r="C723" s="7"/>
      <c r="D723" s="7"/>
      <c r="E723" s="7"/>
      <c r="F723" s="7"/>
    </row>
    <row r="724" ht="15.75" customHeight="1">
      <c r="A724" s="7"/>
      <c r="B724" s="7"/>
      <c r="C724" s="7"/>
      <c r="D724" s="7"/>
      <c r="E724" s="7"/>
      <c r="F724" s="7"/>
    </row>
    <row r="725" ht="15.75" customHeight="1">
      <c r="A725" s="7"/>
      <c r="B725" s="7"/>
      <c r="C725" s="7"/>
      <c r="D725" s="7"/>
      <c r="E725" s="7"/>
      <c r="F725" s="7"/>
    </row>
    <row r="726" ht="15.75" customHeight="1">
      <c r="A726" s="7"/>
      <c r="B726" s="7"/>
      <c r="C726" s="7"/>
      <c r="D726" s="7"/>
      <c r="E726" s="7"/>
      <c r="F726" s="7"/>
    </row>
    <row r="727" ht="15.75" customHeight="1">
      <c r="A727" s="7"/>
      <c r="B727" s="7"/>
      <c r="C727" s="7"/>
      <c r="D727" s="7"/>
      <c r="E727" s="7"/>
      <c r="F727" s="7"/>
    </row>
    <row r="728" ht="15.75" customHeight="1">
      <c r="A728" s="7"/>
      <c r="B728" s="7"/>
      <c r="C728" s="7"/>
      <c r="D728" s="7"/>
      <c r="E728" s="7"/>
      <c r="F728" s="7"/>
    </row>
    <row r="729" ht="15.75" customHeight="1">
      <c r="A729" s="7"/>
      <c r="B729" s="7"/>
      <c r="C729" s="7"/>
      <c r="D729" s="7"/>
      <c r="E729" s="7"/>
      <c r="F729" s="7"/>
    </row>
    <row r="730" ht="15.75" customHeight="1">
      <c r="A730" s="7"/>
      <c r="B730" s="7"/>
      <c r="C730" s="7"/>
      <c r="D730" s="7"/>
      <c r="E730" s="7"/>
      <c r="F730" s="7"/>
    </row>
    <row r="731" ht="15.75" customHeight="1">
      <c r="A731" s="7"/>
      <c r="B731" s="7"/>
      <c r="C731" s="7"/>
      <c r="D731" s="7"/>
      <c r="E731" s="7"/>
      <c r="F731" s="7"/>
    </row>
    <row r="732" ht="15.75" customHeight="1">
      <c r="A732" s="7"/>
      <c r="B732" s="7"/>
      <c r="C732" s="7"/>
      <c r="D732" s="7"/>
      <c r="E732" s="7"/>
      <c r="F732" s="7"/>
    </row>
    <row r="733" ht="15.75" customHeight="1">
      <c r="A733" s="7"/>
      <c r="B733" s="7"/>
      <c r="C733" s="7"/>
      <c r="D733" s="7"/>
      <c r="E733" s="7"/>
      <c r="F733" s="7"/>
    </row>
    <row r="734" ht="15.75" customHeight="1">
      <c r="A734" s="7"/>
      <c r="B734" s="7"/>
      <c r="C734" s="7"/>
      <c r="D734" s="7"/>
      <c r="E734" s="7"/>
      <c r="F734" s="7"/>
    </row>
    <row r="735" ht="15.75" customHeight="1">
      <c r="A735" s="7"/>
      <c r="B735" s="7"/>
      <c r="C735" s="7"/>
      <c r="D735" s="7"/>
      <c r="E735" s="7"/>
      <c r="F735" s="7"/>
    </row>
    <row r="736" ht="15.75" customHeight="1">
      <c r="A736" s="7"/>
      <c r="B736" s="7"/>
      <c r="C736" s="7"/>
      <c r="D736" s="7"/>
      <c r="E736" s="7"/>
      <c r="F736" s="7"/>
    </row>
    <row r="737" ht="15.75" customHeight="1">
      <c r="A737" s="7"/>
      <c r="B737" s="7"/>
      <c r="C737" s="7"/>
      <c r="D737" s="7"/>
      <c r="E737" s="7"/>
      <c r="F737" s="7"/>
    </row>
    <row r="738" ht="15.75" customHeight="1">
      <c r="A738" s="7"/>
      <c r="B738" s="7"/>
      <c r="C738" s="7"/>
      <c r="D738" s="7"/>
      <c r="E738" s="7"/>
      <c r="F738" s="7"/>
    </row>
    <row r="739" ht="15.75" customHeight="1">
      <c r="A739" s="7"/>
      <c r="B739" s="7"/>
      <c r="C739" s="7"/>
      <c r="D739" s="7"/>
      <c r="E739" s="7"/>
      <c r="F739" s="7"/>
    </row>
    <row r="740" ht="15.75" customHeight="1">
      <c r="A740" s="7"/>
      <c r="B740" s="7"/>
      <c r="C740" s="7"/>
      <c r="D740" s="7"/>
      <c r="E740" s="7"/>
      <c r="F740" s="7"/>
    </row>
    <row r="741" ht="15.75" customHeight="1">
      <c r="A741" s="7"/>
      <c r="B741" s="7"/>
      <c r="C741" s="7"/>
      <c r="D741" s="7"/>
      <c r="E741" s="7"/>
      <c r="F741" s="7"/>
    </row>
    <row r="742" ht="15.75" customHeight="1">
      <c r="A742" s="7"/>
      <c r="B742" s="7"/>
      <c r="C742" s="7"/>
      <c r="D742" s="7"/>
      <c r="E742" s="7"/>
      <c r="F742" s="7"/>
    </row>
    <row r="743" ht="15.75" customHeight="1">
      <c r="A743" s="7"/>
      <c r="B743" s="7"/>
      <c r="C743" s="7"/>
      <c r="D743" s="7"/>
      <c r="E743" s="7"/>
      <c r="F743" s="7"/>
    </row>
    <row r="744" ht="15.75" customHeight="1">
      <c r="A744" s="7"/>
      <c r="B744" s="7"/>
      <c r="C744" s="7"/>
      <c r="D744" s="7"/>
      <c r="E744" s="7"/>
      <c r="F744" s="7"/>
    </row>
    <row r="745" ht="15.75" customHeight="1">
      <c r="A745" s="7"/>
      <c r="B745" s="7"/>
      <c r="C745" s="7"/>
      <c r="D745" s="7"/>
      <c r="E745" s="7"/>
      <c r="F745" s="7"/>
    </row>
    <row r="746" ht="15.75" customHeight="1">
      <c r="A746" s="7"/>
      <c r="B746" s="7"/>
      <c r="C746" s="7"/>
      <c r="D746" s="7"/>
      <c r="E746" s="7"/>
      <c r="F746" s="7"/>
    </row>
    <row r="747" ht="15.75" customHeight="1">
      <c r="A747" s="7"/>
      <c r="B747" s="7"/>
      <c r="C747" s="7"/>
      <c r="D747" s="7"/>
      <c r="E747" s="7"/>
      <c r="F747" s="7"/>
    </row>
    <row r="748" ht="15.75" customHeight="1">
      <c r="A748" s="7"/>
      <c r="B748" s="7"/>
      <c r="C748" s="7"/>
      <c r="D748" s="7"/>
      <c r="E748" s="7"/>
      <c r="F748" s="7"/>
    </row>
    <row r="749" ht="15.75" customHeight="1">
      <c r="A749" s="7"/>
      <c r="B749" s="7"/>
      <c r="C749" s="7"/>
      <c r="D749" s="7"/>
      <c r="E749" s="7"/>
      <c r="F749" s="7"/>
    </row>
    <row r="750" ht="15.75" customHeight="1">
      <c r="A750" s="7"/>
      <c r="B750" s="7"/>
      <c r="C750" s="7"/>
      <c r="D750" s="7"/>
      <c r="E750" s="7"/>
      <c r="F750" s="7"/>
    </row>
    <row r="751" ht="15.75" customHeight="1">
      <c r="A751" s="7"/>
      <c r="B751" s="7"/>
      <c r="C751" s="7"/>
      <c r="D751" s="7"/>
      <c r="E751" s="7"/>
      <c r="F751" s="7"/>
    </row>
    <row r="752" ht="15.75" customHeight="1">
      <c r="A752" s="7"/>
      <c r="B752" s="7"/>
      <c r="C752" s="7"/>
      <c r="D752" s="7"/>
      <c r="E752" s="7"/>
      <c r="F752" s="7"/>
    </row>
    <row r="753" ht="15.75" customHeight="1">
      <c r="A753" s="7"/>
      <c r="B753" s="7"/>
      <c r="C753" s="7"/>
      <c r="D753" s="7"/>
      <c r="E753" s="7"/>
      <c r="F753" s="7"/>
    </row>
    <row r="754" ht="15.75" customHeight="1">
      <c r="A754" s="7"/>
      <c r="B754" s="7"/>
      <c r="C754" s="7"/>
      <c r="D754" s="7"/>
      <c r="E754" s="7"/>
      <c r="F754" s="7"/>
    </row>
    <row r="755" ht="15.75" customHeight="1">
      <c r="A755" s="7"/>
      <c r="B755" s="7"/>
      <c r="C755" s="7"/>
      <c r="D755" s="7"/>
      <c r="E755" s="7"/>
      <c r="F755" s="7"/>
    </row>
    <row r="756" ht="15.75" customHeight="1">
      <c r="A756" s="7"/>
      <c r="B756" s="7"/>
      <c r="C756" s="7"/>
      <c r="D756" s="7"/>
      <c r="E756" s="7"/>
      <c r="F756" s="7"/>
    </row>
    <row r="757" ht="15.75" customHeight="1">
      <c r="A757" s="7"/>
      <c r="B757" s="7"/>
      <c r="C757" s="7"/>
      <c r="D757" s="7"/>
      <c r="E757" s="7"/>
      <c r="F757" s="7"/>
    </row>
    <row r="758" ht="15.75" customHeight="1">
      <c r="A758" s="7"/>
      <c r="B758" s="7"/>
      <c r="C758" s="7"/>
      <c r="D758" s="7"/>
      <c r="E758" s="7"/>
      <c r="F758" s="7"/>
    </row>
    <row r="759" ht="15.75" customHeight="1">
      <c r="A759" s="7"/>
      <c r="B759" s="7"/>
      <c r="C759" s="7"/>
      <c r="D759" s="7"/>
      <c r="E759" s="7"/>
      <c r="F759" s="7"/>
    </row>
    <row r="760" ht="15.75" customHeight="1">
      <c r="A760" s="7"/>
      <c r="B760" s="7"/>
      <c r="C760" s="7"/>
      <c r="D760" s="7"/>
      <c r="E760" s="7"/>
      <c r="F760" s="7"/>
    </row>
    <row r="761" ht="15.75" customHeight="1">
      <c r="A761" s="7"/>
      <c r="B761" s="7"/>
      <c r="C761" s="7"/>
      <c r="D761" s="7"/>
      <c r="E761" s="7"/>
      <c r="F761" s="7"/>
    </row>
    <row r="762" ht="15.75" customHeight="1">
      <c r="A762" s="7"/>
      <c r="B762" s="7"/>
      <c r="C762" s="7"/>
      <c r="D762" s="7"/>
      <c r="E762" s="7"/>
      <c r="F762" s="7"/>
    </row>
    <row r="763" ht="15.75" customHeight="1">
      <c r="A763" s="7"/>
      <c r="B763" s="7"/>
      <c r="C763" s="7"/>
      <c r="D763" s="7"/>
      <c r="E763" s="7"/>
      <c r="F763" s="7"/>
    </row>
    <row r="764" ht="15.75" customHeight="1">
      <c r="A764" s="7"/>
      <c r="B764" s="7"/>
      <c r="C764" s="7"/>
      <c r="D764" s="7"/>
      <c r="E764" s="7"/>
      <c r="F764" s="7"/>
    </row>
    <row r="765" ht="15.75" customHeight="1">
      <c r="A765" s="7"/>
      <c r="B765" s="7"/>
      <c r="C765" s="7"/>
      <c r="D765" s="7"/>
      <c r="E765" s="7"/>
      <c r="F765" s="7"/>
    </row>
    <row r="766" ht="15.75" customHeight="1">
      <c r="A766" s="7"/>
      <c r="B766" s="7"/>
      <c r="C766" s="7"/>
      <c r="D766" s="7"/>
      <c r="E766" s="7"/>
      <c r="F766" s="7"/>
    </row>
    <row r="767" ht="15.75" customHeight="1">
      <c r="A767" s="7"/>
      <c r="B767" s="7"/>
      <c r="C767" s="7"/>
      <c r="D767" s="7"/>
      <c r="E767" s="7"/>
      <c r="F767" s="7"/>
    </row>
    <row r="768" ht="15.75" customHeight="1">
      <c r="A768" s="7"/>
      <c r="B768" s="7"/>
      <c r="C768" s="7"/>
      <c r="D768" s="7"/>
      <c r="E768" s="7"/>
      <c r="F768" s="7"/>
    </row>
    <row r="769" ht="15.75" customHeight="1">
      <c r="A769" s="7"/>
      <c r="B769" s="7"/>
      <c r="C769" s="7"/>
      <c r="D769" s="7"/>
      <c r="E769" s="7"/>
      <c r="F769" s="7"/>
    </row>
    <row r="770" ht="15.75" customHeight="1">
      <c r="A770" s="7"/>
      <c r="B770" s="7"/>
      <c r="C770" s="7"/>
      <c r="D770" s="7"/>
      <c r="E770" s="7"/>
      <c r="F770" s="7"/>
    </row>
    <row r="771" ht="15.75" customHeight="1">
      <c r="A771" s="7"/>
      <c r="B771" s="7"/>
      <c r="C771" s="7"/>
      <c r="D771" s="7"/>
      <c r="E771" s="7"/>
      <c r="F771" s="7"/>
    </row>
    <row r="772" ht="15.75" customHeight="1">
      <c r="A772" s="7"/>
      <c r="B772" s="7"/>
      <c r="C772" s="7"/>
      <c r="D772" s="7"/>
      <c r="E772" s="7"/>
      <c r="F772" s="7"/>
    </row>
    <row r="773" ht="15.75" customHeight="1">
      <c r="A773" s="7"/>
      <c r="B773" s="7"/>
      <c r="C773" s="7"/>
      <c r="D773" s="7"/>
      <c r="E773" s="7"/>
      <c r="F773" s="7"/>
    </row>
    <row r="774" ht="15.75" customHeight="1">
      <c r="A774" s="7"/>
      <c r="B774" s="7"/>
      <c r="C774" s="7"/>
      <c r="D774" s="7"/>
      <c r="E774" s="7"/>
      <c r="F774" s="7"/>
    </row>
    <row r="775" ht="15.75" customHeight="1">
      <c r="A775" s="7"/>
      <c r="B775" s="7"/>
      <c r="C775" s="7"/>
      <c r="D775" s="7"/>
      <c r="E775" s="7"/>
      <c r="F775" s="7"/>
    </row>
    <row r="776" ht="15.75" customHeight="1">
      <c r="A776" s="7"/>
      <c r="B776" s="7"/>
      <c r="C776" s="7"/>
      <c r="D776" s="7"/>
      <c r="E776" s="7"/>
      <c r="F776" s="7"/>
    </row>
    <row r="777" ht="15.75" customHeight="1">
      <c r="A777" s="7"/>
      <c r="B777" s="7"/>
      <c r="C777" s="7"/>
      <c r="D777" s="7"/>
      <c r="E777" s="7"/>
      <c r="F777" s="7"/>
    </row>
    <row r="778" ht="15.75" customHeight="1">
      <c r="A778" s="7"/>
      <c r="B778" s="7"/>
      <c r="C778" s="7"/>
      <c r="D778" s="7"/>
      <c r="E778" s="7"/>
      <c r="F778" s="7"/>
    </row>
    <row r="779" ht="15.75" customHeight="1">
      <c r="A779" s="7"/>
      <c r="B779" s="7"/>
      <c r="C779" s="7"/>
      <c r="D779" s="7"/>
      <c r="E779" s="7"/>
      <c r="F779" s="7"/>
    </row>
    <row r="780" ht="15.75" customHeight="1">
      <c r="A780" s="7"/>
      <c r="B780" s="7"/>
      <c r="C780" s="7"/>
      <c r="D780" s="7"/>
      <c r="E780" s="7"/>
      <c r="F780" s="7"/>
    </row>
    <row r="781" ht="15.75" customHeight="1">
      <c r="A781" s="7"/>
      <c r="B781" s="7"/>
      <c r="C781" s="7"/>
      <c r="D781" s="7"/>
      <c r="E781" s="7"/>
      <c r="F781" s="7"/>
    </row>
    <row r="782" ht="15.75" customHeight="1">
      <c r="A782" s="7"/>
      <c r="B782" s="7"/>
      <c r="C782" s="7"/>
      <c r="D782" s="7"/>
      <c r="E782" s="7"/>
      <c r="F782" s="7"/>
    </row>
    <row r="783" ht="15.75" customHeight="1">
      <c r="A783" s="7"/>
      <c r="B783" s="7"/>
      <c r="C783" s="7"/>
      <c r="D783" s="7"/>
      <c r="E783" s="7"/>
      <c r="F783" s="7"/>
    </row>
    <row r="784" ht="15.75" customHeight="1">
      <c r="A784" s="7"/>
      <c r="B784" s="7"/>
      <c r="C784" s="7"/>
      <c r="D784" s="7"/>
      <c r="E784" s="7"/>
      <c r="F784" s="7"/>
    </row>
    <row r="785" ht="15.75" customHeight="1">
      <c r="A785" s="7"/>
      <c r="B785" s="7"/>
      <c r="C785" s="7"/>
      <c r="D785" s="7"/>
      <c r="E785" s="7"/>
      <c r="F785" s="7"/>
    </row>
    <row r="786" ht="15.75" customHeight="1">
      <c r="A786" s="7"/>
      <c r="B786" s="7"/>
      <c r="C786" s="7"/>
      <c r="D786" s="7"/>
      <c r="E786" s="7"/>
      <c r="F786" s="7"/>
    </row>
    <row r="787" ht="15.75" customHeight="1">
      <c r="A787" s="7"/>
      <c r="B787" s="7"/>
      <c r="C787" s="7"/>
      <c r="D787" s="7"/>
      <c r="E787" s="7"/>
      <c r="F787" s="7"/>
    </row>
    <row r="788" ht="15.75" customHeight="1">
      <c r="A788" s="7"/>
      <c r="B788" s="7"/>
      <c r="C788" s="7"/>
      <c r="D788" s="7"/>
      <c r="E788" s="7"/>
      <c r="F788" s="7"/>
    </row>
    <row r="789" ht="15.75" customHeight="1">
      <c r="A789" s="7"/>
      <c r="B789" s="7"/>
      <c r="C789" s="7"/>
      <c r="D789" s="7"/>
      <c r="E789" s="7"/>
      <c r="F789" s="7"/>
    </row>
    <row r="790" ht="15.75" customHeight="1">
      <c r="A790" s="7"/>
      <c r="B790" s="7"/>
      <c r="C790" s="7"/>
      <c r="D790" s="7"/>
      <c r="E790" s="7"/>
      <c r="F790" s="7"/>
    </row>
    <row r="791" ht="15.75" customHeight="1">
      <c r="A791" s="7"/>
      <c r="B791" s="7"/>
      <c r="C791" s="7"/>
      <c r="D791" s="7"/>
      <c r="E791" s="7"/>
      <c r="F791" s="7"/>
    </row>
    <row r="792" ht="15.75" customHeight="1">
      <c r="A792" s="7"/>
      <c r="B792" s="7"/>
      <c r="C792" s="7"/>
      <c r="D792" s="7"/>
      <c r="E792" s="7"/>
      <c r="F792" s="7"/>
    </row>
    <row r="793" ht="15.75" customHeight="1">
      <c r="A793" s="7"/>
      <c r="B793" s="7"/>
      <c r="C793" s="7"/>
      <c r="D793" s="7"/>
      <c r="E793" s="7"/>
      <c r="F793" s="7"/>
    </row>
    <row r="794" ht="15.75" customHeight="1">
      <c r="A794" s="7"/>
      <c r="B794" s="7"/>
      <c r="C794" s="7"/>
      <c r="D794" s="7"/>
      <c r="E794" s="7"/>
      <c r="F794" s="7"/>
    </row>
    <row r="795" ht="15.75" customHeight="1">
      <c r="A795" s="7"/>
      <c r="B795" s="7"/>
      <c r="C795" s="7"/>
      <c r="D795" s="7"/>
      <c r="E795" s="7"/>
      <c r="F795" s="7"/>
    </row>
    <row r="796" ht="15.75" customHeight="1">
      <c r="A796" s="7"/>
      <c r="B796" s="7"/>
      <c r="C796" s="7"/>
      <c r="D796" s="7"/>
      <c r="E796" s="7"/>
      <c r="F796" s="7"/>
    </row>
    <row r="797" ht="15.75" customHeight="1">
      <c r="A797" s="7"/>
      <c r="B797" s="7"/>
      <c r="C797" s="7"/>
      <c r="D797" s="7"/>
      <c r="E797" s="7"/>
      <c r="F797" s="7"/>
    </row>
    <row r="798" ht="15.75" customHeight="1">
      <c r="A798" s="7"/>
      <c r="B798" s="7"/>
      <c r="C798" s="7"/>
      <c r="D798" s="7"/>
      <c r="E798" s="7"/>
      <c r="F798" s="7"/>
    </row>
    <row r="799" ht="15.75" customHeight="1">
      <c r="A799" s="7"/>
      <c r="B799" s="7"/>
      <c r="C799" s="7"/>
      <c r="D799" s="7"/>
      <c r="E799" s="7"/>
      <c r="F799" s="7"/>
    </row>
    <row r="800" ht="15.75" customHeight="1">
      <c r="A800" s="7"/>
      <c r="B800" s="7"/>
      <c r="C800" s="7"/>
      <c r="D800" s="7"/>
      <c r="E800" s="7"/>
      <c r="F800" s="7"/>
    </row>
    <row r="801" ht="15.75" customHeight="1">
      <c r="A801" s="7"/>
      <c r="B801" s="7"/>
      <c r="C801" s="7"/>
      <c r="D801" s="7"/>
      <c r="E801" s="7"/>
      <c r="F801" s="7"/>
    </row>
    <row r="802" ht="15.75" customHeight="1">
      <c r="A802" s="7"/>
      <c r="B802" s="7"/>
      <c r="C802" s="7"/>
      <c r="D802" s="7"/>
      <c r="E802" s="7"/>
      <c r="F802" s="7"/>
    </row>
    <row r="803" ht="15.75" customHeight="1">
      <c r="A803" s="7"/>
      <c r="B803" s="7"/>
      <c r="C803" s="7"/>
      <c r="D803" s="7"/>
      <c r="E803" s="7"/>
      <c r="F803" s="7"/>
    </row>
    <row r="804" ht="15.75" customHeight="1">
      <c r="A804" s="7"/>
      <c r="B804" s="7"/>
      <c r="C804" s="7"/>
      <c r="D804" s="7"/>
      <c r="E804" s="7"/>
      <c r="F804" s="7"/>
    </row>
    <row r="805" ht="15.75" customHeight="1">
      <c r="A805" s="7"/>
      <c r="B805" s="7"/>
      <c r="C805" s="7"/>
      <c r="D805" s="7"/>
      <c r="E805" s="7"/>
      <c r="F805" s="7"/>
    </row>
    <row r="806" ht="15.75" customHeight="1">
      <c r="A806" s="7"/>
      <c r="B806" s="7"/>
      <c r="C806" s="7"/>
      <c r="D806" s="7"/>
      <c r="E806" s="7"/>
      <c r="F806" s="7"/>
    </row>
    <row r="807" ht="15.75" customHeight="1">
      <c r="A807" s="7"/>
      <c r="B807" s="7"/>
      <c r="C807" s="7"/>
      <c r="D807" s="7"/>
      <c r="E807" s="7"/>
      <c r="F807" s="7"/>
    </row>
    <row r="808" ht="15.75" customHeight="1">
      <c r="A808" s="7"/>
      <c r="B808" s="7"/>
      <c r="C808" s="7"/>
      <c r="D808" s="7"/>
      <c r="E808" s="7"/>
      <c r="F808" s="7"/>
    </row>
    <row r="809" ht="15.75" customHeight="1">
      <c r="A809" s="7"/>
      <c r="B809" s="7"/>
      <c r="C809" s="7"/>
      <c r="D809" s="7"/>
      <c r="E809" s="7"/>
      <c r="F809" s="7"/>
    </row>
    <row r="810" ht="15.75" customHeight="1">
      <c r="A810" s="7"/>
      <c r="B810" s="7"/>
      <c r="C810" s="7"/>
      <c r="D810" s="7"/>
      <c r="E810" s="7"/>
      <c r="F810" s="7"/>
    </row>
    <row r="811" ht="15.75" customHeight="1">
      <c r="A811" s="7"/>
      <c r="B811" s="7"/>
      <c r="C811" s="7"/>
      <c r="D811" s="7"/>
      <c r="E811" s="7"/>
      <c r="F811" s="7"/>
    </row>
    <row r="812" ht="15.75" customHeight="1">
      <c r="A812" s="7"/>
      <c r="B812" s="7"/>
      <c r="C812" s="7"/>
      <c r="D812" s="7"/>
      <c r="E812" s="7"/>
      <c r="F812" s="7"/>
    </row>
    <row r="813" ht="15.75" customHeight="1">
      <c r="A813" s="7"/>
      <c r="B813" s="7"/>
      <c r="C813" s="7"/>
      <c r="D813" s="7"/>
      <c r="E813" s="7"/>
      <c r="F813" s="7"/>
    </row>
    <row r="814" ht="15.75" customHeight="1">
      <c r="A814" s="7"/>
      <c r="B814" s="7"/>
      <c r="C814" s="7"/>
      <c r="D814" s="7"/>
      <c r="E814" s="7"/>
      <c r="F814" s="7"/>
    </row>
    <row r="815" ht="15.75" customHeight="1">
      <c r="A815" s="7"/>
      <c r="B815" s="7"/>
      <c r="C815" s="7"/>
      <c r="D815" s="7"/>
      <c r="E815" s="7"/>
      <c r="F815" s="7"/>
    </row>
    <row r="816" ht="15.75" customHeight="1">
      <c r="A816" s="7"/>
      <c r="B816" s="7"/>
      <c r="C816" s="7"/>
      <c r="D816" s="7"/>
      <c r="E816" s="7"/>
      <c r="F816" s="7"/>
    </row>
    <row r="817" ht="15.75" customHeight="1">
      <c r="A817" s="7"/>
      <c r="B817" s="7"/>
      <c r="C817" s="7"/>
      <c r="D817" s="7"/>
      <c r="E817" s="7"/>
      <c r="F817" s="7"/>
    </row>
    <row r="818" ht="15.75" customHeight="1">
      <c r="A818" s="7"/>
      <c r="B818" s="7"/>
      <c r="C818" s="7"/>
      <c r="D818" s="7"/>
      <c r="E818" s="7"/>
      <c r="F818" s="7"/>
    </row>
    <row r="819" ht="15.75" customHeight="1">
      <c r="A819" s="7"/>
      <c r="B819" s="7"/>
      <c r="C819" s="7"/>
      <c r="D819" s="7"/>
      <c r="E819" s="7"/>
      <c r="F819" s="7"/>
    </row>
    <row r="820" ht="15.75" customHeight="1">
      <c r="A820" s="7"/>
      <c r="B820" s="7"/>
      <c r="C820" s="7"/>
      <c r="D820" s="7"/>
      <c r="E820" s="7"/>
      <c r="F820" s="7"/>
    </row>
    <row r="821" ht="15.75" customHeight="1">
      <c r="A821" s="7"/>
      <c r="B821" s="7"/>
      <c r="C821" s="7"/>
      <c r="D821" s="7"/>
      <c r="E821" s="7"/>
      <c r="F821" s="7"/>
    </row>
    <row r="822" ht="15.75" customHeight="1">
      <c r="A822" s="7"/>
      <c r="B822" s="7"/>
      <c r="C822" s="7"/>
      <c r="D822" s="7"/>
      <c r="E822" s="7"/>
      <c r="F822" s="7"/>
    </row>
    <row r="823" ht="15.75" customHeight="1">
      <c r="A823" s="7"/>
      <c r="B823" s="7"/>
      <c r="C823" s="7"/>
      <c r="D823" s="7"/>
      <c r="E823" s="7"/>
      <c r="F823" s="7"/>
    </row>
    <row r="824" ht="15.75" customHeight="1">
      <c r="A824" s="7"/>
      <c r="B824" s="7"/>
      <c r="C824" s="7"/>
      <c r="D824" s="7"/>
      <c r="E824" s="7"/>
      <c r="F824" s="7"/>
    </row>
    <row r="825" ht="15.75" customHeight="1">
      <c r="A825" s="7"/>
      <c r="B825" s="7"/>
      <c r="C825" s="7"/>
      <c r="D825" s="7"/>
      <c r="E825" s="7"/>
      <c r="F825" s="7"/>
    </row>
    <row r="826" ht="15.75" customHeight="1">
      <c r="A826" s="7"/>
      <c r="B826" s="7"/>
      <c r="C826" s="7"/>
      <c r="D826" s="7"/>
      <c r="E826" s="7"/>
      <c r="F826" s="7"/>
    </row>
    <row r="827" ht="15.75" customHeight="1">
      <c r="A827" s="7"/>
      <c r="B827" s="7"/>
      <c r="C827" s="7"/>
      <c r="D827" s="7"/>
      <c r="E827" s="7"/>
      <c r="F827" s="7"/>
    </row>
    <row r="828" ht="15.75" customHeight="1">
      <c r="A828" s="7"/>
      <c r="B828" s="7"/>
      <c r="C828" s="7"/>
      <c r="D828" s="7"/>
      <c r="E828" s="7"/>
      <c r="F828" s="7"/>
    </row>
    <row r="829" ht="15.75" customHeight="1">
      <c r="A829" s="7"/>
      <c r="B829" s="7"/>
      <c r="C829" s="7"/>
      <c r="D829" s="7"/>
      <c r="E829" s="7"/>
      <c r="F829" s="7"/>
    </row>
    <row r="830" ht="15.75" customHeight="1">
      <c r="A830" s="7"/>
      <c r="B830" s="7"/>
      <c r="C830" s="7"/>
      <c r="D830" s="7"/>
      <c r="E830" s="7"/>
      <c r="F830" s="7"/>
    </row>
    <row r="831" ht="15.75" customHeight="1">
      <c r="A831" s="7"/>
      <c r="B831" s="7"/>
      <c r="C831" s="7"/>
      <c r="D831" s="7"/>
      <c r="E831" s="7"/>
      <c r="F831" s="7"/>
    </row>
    <row r="832" ht="15.75" customHeight="1">
      <c r="A832" s="7"/>
      <c r="B832" s="7"/>
      <c r="C832" s="7"/>
      <c r="D832" s="7"/>
      <c r="E832" s="7"/>
      <c r="F832" s="7"/>
    </row>
    <row r="833" ht="15.75" customHeight="1">
      <c r="A833" s="7"/>
      <c r="B833" s="7"/>
      <c r="C833" s="7"/>
      <c r="D833" s="7"/>
      <c r="E833" s="7"/>
      <c r="F833" s="7"/>
    </row>
    <row r="834" ht="15.75" customHeight="1">
      <c r="A834" s="7"/>
      <c r="B834" s="7"/>
      <c r="C834" s="7"/>
      <c r="D834" s="7"/>
      <c r="E834" s="7"/>
      <c r="F834" s="7"/>
    </row>
    <row r="835" ht="15.75" customHeight="1">
      <c r="A835" s="7"/>
      <c r="B835" s="7"/>
      <c r="C835" s="7"/>
      <c r="D835" s="7"/>
      <c r="E835" s="7"/>
      <c r="F835" s="7"/>
    </row>
    <row r="836" ht="15.75" customHeight="1">
      <c r="A836" s="7"/>
      <c r="B836" s="7"/>
      <c r="C836" s="7"/>
      <c r="D836" s="7"/>
      <c r="E836" s="7"/>
      <c r="F836" s="7"/>
    </row>
    <row r="837" ht="15.75" customHeight="1">
      <c r="A837" s="7"/>
      <c r="B837" s="7"/>
      <c r="C837" s="7"/>
      <c r="D837" s="7"/>
      <c r="E837" s="7"/>
      <c r="F837" s="7"/>
    </row>
    <row r="838" ht="15.75" customHeight="1">
      <c r="A838" s="7"/>
      <c r="B838" s="7"/>
      <c r="C838" s="7"/>
      <c r="D838" s="7"/>
      <c r="E838" s="7"/>
      <c r="F838" s="7"/>
    </row>
    <row r="839" ht="15.75" customHeight="1">
      <c r="A839" s="7"/>
      <c r="B839" s="7"/>
      <c r="C839" s="7"/>
      <c r="D839" s="7"/>
      <c r="E839" s="7"/>
      <c r="F839" s="7"/>
    </row>
    <row r="840" ht="15.75" customHeight="1">
      <c r="A840" s="7"/>
      <c r="B840" s="7"/>
      <c r="C840" s="7"/>
      <c r="D840" s="7"/>
      <c r="E840" s="7"/>
      <c r="F840" s="7"/>
    </row>
    <row r="841" ht="15.75" customHeight="1">
      <c r="A841" s="7"/>
      <c r="B841" s="7"/>
      <c r="C841" s="7"/>
      <c r="D841" s="7"/>
      <c r="E841" s="7"/>
      <c r="F841" s="7"/>
    </row>
    <row r="842" ht="15.75" customHeight="1">
      <c r="A842" s="7"/>
      <c r="B842" s="7"/>
      <c r="C842" s="7"/>
      <c r="D842" s="7"/>
      <c r="E842" s="7"/>
      <c r="F842" s="7"/>
    </row>
    <row r="843" ht="15.75" customHeight="1">
      <c r="A843" s="7"/>
      <c r="B843" s="7"/>
      <c r="C843" s="7"/>
      <c r="D843" s="7"/>
      <c r="E843" s="7"/>
      <c r="F843" s="7"/>
    </row>
    <row r="844" ht="15.75" customHeight="1">
      <c r="A844" s="7"/>
      <c r="B844" s="7"/>
      <c r="C844" s="7"/>
      <c r="D844" s="7"/>
      <c r="E844" s="7"/>
      <c r="F844" s="7"/>
    </row>
    <row r="845" ht="15.75" customHeight="1">
      <c r="A845" s="7"/>
      <c r="B845" s="7"/>
      <c r="C845" s="7"/>
      <c r="D845" s="7"/>
      <c r="E845" s="7"/>
      <c r="F845" s="7"/>
    </row>
    <row r="846" ht="15.75" customHeight="1">
      <c r="A846" s="7"/>
      <c r="B846" s="7"/>
      <c r="C846" s="7"/>
      <c r="D846" s="7"/>
      <c r="E846" s="7"/>
      <c r="F846" s="7"/>
    </row>
    <row r="847" ht="15.75" customHeight="1">
      <c r="A847" s="7"/>
      <c r="B847" s="7"/>
      <c r="C847" s="7"/>
      <c r="D847" s="7"/>
      <c r="E847" s="7"/>
      <c r="F847" s="7"/>
    </row>
    <row r="848" ht="15.75" customHeight="1">
      <c r="A848" s="7"/>
      <c r="B848" s="7"/>
      <c r="C848" s="7"/>
      <c r="D848" s="7"/>
      <c r="E848" s="7"/>
      <c r="F848" s="7"/>
    </row>
    <row r="849" ht="15.75" customHeight="1">
      <c r="A849" s="7"/>
      <c r="B849" s="7"/>
      <c r="C849" s="7"/>
      <c r="D849" s="7"/>
      <c r="E849" s="7"/>
      <c r="F849" s="7"/>
    </row>
    <row r="850" ht="15.75" customHeight="1">
      <c r="A850" s="7"/>
      <c r="B850" s="7"/>
      <c r="C850" s="7"/>
      <c r="D850" s="7"/>
      <c r="E850" s="7"/>
      <c r="F850" s="7"/>
    </row>
    <row r="851" ht="15.75" customHeight="1">
      <c r="A851" s="7"/>
      <c r="B851" s="7"/>
      <c r="C851" s="7"/>
      <c r="D851" s="7"/>
      <c r="E851" s="7"/>
      <c r="F851" s="7"/>
    </row>
    <row r="852" ht="15.75" customHeight="1">
      <c r="A852" s="7"/>
      <c r="B852" s="7"/>
      <c r="C852" s="7"/>
      <c r="D852" s="7"/>
      <c r="E852" s="7"/>
      <c r="F852" s="7"/>
    </row>
    <row r="853" ht="15.75" customHeight="1">
      <c r="A853" s="7"/>
      <c r="B853" s="7"/>
      <c r="C853" s="7"/>
      <c r="D853" s="7"/>
      <c r="E853" s="7"/>
      <c r="F853" s="7"/>
    </row>
    <row r="854" ht="15.75" customHeight="1">
      <c r="A854" s="7"/>
      <c r="B854" s="7"/>
      <c r="C854" s="7"/>
      <c r="D854" s="7"/>
      <c r="E854" s="7"/>
      <c r="F854" s="7"/>
    </row>
    <row r="855" ht="15.75" customHeight="1">
      <c r="A855" s="7"/>
      <c r="B855" s="7"/>
      <c r="C855" s="7"/>
      <c r="D855" s="7"/>
      <c r="E855" s="7"/>
      <c r="F855" s="7"/>
    </row>
    <row r="856" ht="15.75" customHeight="1">
      <c r="A856" s="7"/>
      <c r="B856" s="7"/>
      <c r="C856" s="7"/>
      <c r="D856" s="7"/>
      <c r="E856" s="7"/>
      <c r="F856" s="7"/>
    </row>
    <row r="857" ht="15.75" customHeight="1">
      <c r="A857" s="7"/>
      <c r="B857" s="7"/>
      <c r="C857" s="7"/>
      <c r="D857" s="7"/>
      <c r="E857" s="7"/>
      <c r="F857" s="7"/>
    </row>
    <row r="858" ht="15.75" customHeight="1">
      <c r="A858" s="7"/>
      <c r="B858" s="7"/>
      <c r="C858" s="7"/>
      <c r="D858" s="7"/>
      <c r="E858" s="7"/>
      <c r="F858" s="7"/>
    </row>
    <row r="859" ht="15.75" customHeight="1">
      <c r="A859" s="7"/>
      <c r="B859" s="7"/>
      <c r="C859" s="7"/>
      <c r="D859" s="7"/>
      <c r="E859" s="7"/>
      <c r="F859" s="7"/>
    </row>
    <row r="860" ht="15.75" customHeight="1">
      <c r="A860" s="7"/>
      <c r="B860" s="7"/>
      <c r="C860" s="7"/>
      <c r="D860" s="7"/>
      <c r="E860" s="7"/>
      <c r="F860" s="7"/>
    </row>
    <row r="861" ht="15.75" customHeight="1">
      <c r="A861" s="7"/>
      <c r="B861" s="7"/>
      <c r="C861" s="7"/>
      <c r="D861" s="7"/>
      <c r="E861" s="7"/>
      <c r="F861" s="7"/>
    </row>
    <row r="862" ht="15.75" customHeight="1">
      <c r="A862" s="7"/>
      <c r="B862" s="7"/>
      <c r="C862" s="7"/>
      <c r="D862" s="7"/>
      <c r="E862" s="7"/>
      <c r="F862" s="7"/>
    </row>
    <row r="863" ht="15.75" customHeight="1">
      <c r="A863" s="7"/>
      <c r="B863" s="7"/>
      <c r="C863" s="7"/>
      <c r="D863" s="7"/>
      <c r="E863" s="7"/>
      <c r="F863" s="7"/>
    </row>
    <row r="864" ht="15.75" customHeight="1">
      <c r="A864" s="7"/>
      <c r="B864" s="7"/>
      <c r="C864" s="7"/>
      <c r="D864" s="7"/>
      <c r="E864" s="7"/>
      <c r="F864" s="7"/>
    </row>
    <row r="865" ht="15.75" customHeight="1">
      <c r="A865" s="7"/>
      <c r="B865" s="7"/>
      <c r="C865" s="7"/>
      <c r="D865" s="7"/>
      <c r="E865" s="7"/>
      <c r="F865" s="7"/>
    </row>
    <row r="866" ht="15.75" customHeight="1">
      <c r="A866" s="7"/>
      <c r="B866" s="7"/>
      <c r="C866" s="7"/>
      <c r="D866" s="7"/>
      <c r="E866" s="7"/>
      <c r="F866" s="7"/>
    </row>
    <row r="867" ht="15.75" customHeight="1">
      <c r="A867" s="7"/>
      <c r="B867" s="7"/>
      <c r="C867" s="7"/>
      <c r="D867" s="7"/>
      <c r="E867" s="7"/>
      <c r="F867" s="7"/>
    </row>
    <row r="868" ht="15.75" customHeight="1">
      <c r="A868" s="7"/>
      <c r="B868" s="7"/>
      <c r="C868" s="7"/>
      <c r="D868" s="7"/>
      <c r="E868" s="7"/>
      <c r="F868" s="7"/>
    </row>
    <row r="869" ht="15.75" customHeight="1">
      <c r="A869" s="7"/>
      <c r="B869" s="7"/>
      <c r="C869" s="7"/>
      <c r="D869" s="7"/>
      <c r="E869" s="7"/>
      <c r="F869" s="7"/>
    </row>
    <row r="870" ht="15.75" customHeight="1">
      <c r="A870" s="7"/>
      <c r="B870" s="7"/>
      <c r="C870" s="7"/>
      <c r="D870" s="7"/>
      <c r="E870" s="7"/>
      <c r="F870" s="7"/>
    </row>
    <row r="871" ht="15.75" customHeight="1">
      <c r="A871" s="7"/>
      <c r="B871" s="7"/>
      <c r="C871" s="7"/>
      <c r="D871" s="7"/>
      <c r="E871" s="7"/>
      <c r="F871" s="7"/>
    </row>
    <row r="872" ht="15.75" customHeight="1">
      <c r="A872" s="7"/>
      <c r="B872" s="7"/>
      <c r="C872" s="7"/>
      <c r="D872" s="7"/>
      <c r="E872" s="7"/>
      <c r="F872" s="7"/>
    </row>
    <row r="873" ht="15.75" customHeight="1">
      <c r="A873" s="7"/>
      <c r="B873" s="7"/>
      <c r="C873" s="7"/>
      <c r="D873" s="7"/>
      <c r="E873" s="7"/>
      <c r="F873" s="7"/>
    </row>
    <row r="874" ht="15.75" customHeight="1">
      <c r="A874" s="7"/>
      <c r="B874" s="7"/>
      <c r="C874" s="7"/>
      <c r="D874" s="7"/>
      <c r="E874" s="7"/>
      <c r="F874" s="7"/>
    </row>
    <row r="875" ht="15.75" customHeight="1">
      <c r="A875" s="7"/>
      <c r="B875" s="7"/>
      <c r="C875" s="7"/>
      <c r="D875" s="7"/>
      <c r="E875" s="7"/>
      <c r="F875" s="7"/>
    </row>
    <row r="876" ht="15.75" customHeight="1">
      <c r="A876" s="7"/>
      <c r="B876" s="7"/>
      <c r="C876" s="7"/>
      <c r="D876" s="7"/>
      <c r="E876" s="7"/>
      <c r="F876" s="7"/>
    </row>
    <row r="877" ht="15.75" customHeight="1">
      <c r="A877" s="7"/>
      <c r="B877" s="7"/>
      <c r="C877" s="7"/>
      <c r="D877" s="7"/>
      <c r="E877" s="7"/>
      <c r="F877" s="7"/>
    </row>
    <row r="878" ht="15.75" customHeight="1">
      <c r="A878" s="7"/>
      <c r="B878" s="7"/>
      <c r="C878" s="7"/>
      <c r="D878" s="7"/>
      <c r="E878" s="7"/>
      <c r="F878" s="7"/>
    </row>
    <row r="879" ht="15.75" customHeight="1">
      <c r="A879" s="7"/>
      <c r="B879" s="7"/>
      <c r="C879" s="7"/>
      <c r="D879" s="7"/>
      <c r="E879" s="7"/>
      <c r="F879" s="7"/>
    </row>
    <row r="880" ht="15.75" customHeight="1">
      <c r="A880" s="7"/>
      <c r="B880" s="7"/>
      <c r="C880" s="7"/>
      <c r="D880" s="7"/>
      <c r="E880" s="7"/>
      <c r="F880" s="7"/>
    </row>
    <row r="881" ht="15.75" customHeight="1">
      <c r="A881" s="7"/>
      <c r="B881" s="7"/>
      <c r="C881" s="7"/>
      <c r="D881" s="7"/>
      <c r="E881" s="7"/>
      <c r="F881" s="7"/>
    </row>
    <row r="882" ht="15.75" customHeight="1">
      <c r="A882" s="7"/>
      <c r="B882" s="7"/>
      <c r="C882" s="7"/>
      <c r="D882" s="7"/>
      <c r="E882" s="7"/>
      <c r="F882" s="7"/>
    </row>
    <row r="883" ht="15.75" customHeight="1">
      <c r="A883" s="7"/>
      <c r="B883" s="7"/>
      <c r="C883" s="7"/>
      <c r="D883" s="7"/>
      <c r="E883" s="7"/>
      <c r="F883" s="7"/>
    </row>
    <row r="884" ht="15.75" customHeight="1">
      <c r="A884" s="7"/>
      <c r="B884" s="7"/>
      <c r="C884" s="7"/>
      <c r="D884" s="7"/>
      <c r="E884" s="7"/>
      <c r="F884" s="7"/>
    </row>
    <row r="885" ht="15.75" customHeight="1">
      <c r="A885" s="7"/>
      <c r="B885" s="7"/>
      <c r="C885" s="7"/>
      <c r="D885" s="7"/>
      <c r="E885" s="7"/>
      <c r="F885" s="7"/>
    </row>
    <row r="886" ht="15.75" customHeight="1">
      <c r="A886" s="7"/>
      <c r="B886" s="7"/>
      <c r="C886" s="7"/>
      <c r="D886" s="7"/>
      <c r="E886" s="7"/>
      <c r="F886" s="7"/>
    </row>
    <row r="887" ht="15.75" customHeight="1">
      <c r="A887" s="7"/>
      <c r="B887" s="7"/>
      <c r="C887" s="7"/>
      <c r="D887" s="7"/>
      <c r="E887" s="7"/>
      <c r="F887" s="7"/>
    </row>
    <row r="888" ht="15.75" customHeight="1">
      <c r="A888" s="7"/>
      <c r="B888" s="7"/>
      <c r="C888" s="7"/>
      <c r="D888" s="7"/>
      <c r="E888" s="7"/>
      <c r="F888" s="7"/>
    </row>
    <row r="889" ht="15.75" customHeight="1">
      <c r="A889" s="7"/>
      <c r="B889" s="7"/>
      <c r="C889" s="7"/>
      <c r="D889" s="7"/>
      <c r="E889" s="7"/>
      <c r="F889" s="7"/>
    </row>
    <row r="890" ht="15.75" customHeight="1">
      <c r="A890" s="7"/>
      <c r="B890" s="7"/>
      <c r="C890" s="7"/>
      <c r="D890" s="7"/>
      <c r="E890" s="7"/>
      <c r="F890" s="7"/>
    </row>
    <row r="891" ht="15.75" customHeight="1">
      <c r="A891" s="7"/>
      <c r="B891" s="7"/>
      <c r="C891" s="7"/>
      <c r="D891" s="7"/>
      <c r="E891" s="7"/>
      <c r="F891" s="7"/>
    </row>
    <row r="892" ht="15.75" customHeight="1">
      <c r="A892" s="7"/>
      <c r="B892" s="7"/>
      <c r="C892" s="7"/>
      <c r="D892" s="7"/>
      <c r="E892" s="7"/>
      <c r="F892" s="7"/>
    </row>
    <row r="893" ht="15.75" customHeight="1">
      <c r="A893" s="7"/>
      <c r="B893" s="7"/>
      <c r="C893" s="7"/>
      <c r="D893" s="7"/>
      <c r="E893" s="7"/>
      <c r="F893" s="7"/>
    </row>
    <row r="894" ht="15.75" customHeight="1">
      <c r="A894" s="7"/>
      <c r="B894" s="7"/>
      <c r="C894" s="7"/>
      <c r="D894" s="7"/>
      <c r="E894" s="7"/>
      <c r="F894" s="7"/>
    </row>
    <row r="895" ht="15.75" customHeight="1">
      <c r="A895" s="7"/>
      <c r="B895" s="7"/>
      <c r="C895" s="7"/>
      <c r="D895" s="7"/>
      <c r="E895" s="7"/>
      <c r="F895" s="7"/>
    </row>
    <row r="896" ht="15.75" customHeight="1">
      <c r="A896" s="7"/>
      <c r="B896" s="7"/>
      <c r="C896" s="7"/>
      <c r="D896" s="7"/>
      <c r="E896" s="7"/>
      <c r="F896" s="7"/>
    </row>
    <row r="897" ht="15.75" customHeight="1">
      <c r="A897" s="7"/>
      <c r="B897" s="7"/>
      <c r="C897" s="7"/>
      <c r="D897" s="7"/>
      <c r="E897" s="7"/>
      <c r="F897" s="7"/>
    </row>
    <row r="898" ht="15.75" customHeight="1">
      <c r="A898" s="7"/>
      <c r="B898" s="7"/>
      <c r="C898" s="7"/>
      <c r="D898" s="7"/>
      <c r="E898" s="7"/>
      <c r="F898" s="7"/>
    </row>
    <row r="899" ht="15.75" customHeight="1">
      <c r="A899" s="7"/>
      <c r="B899" s="7"/>
      <c r="C899" s="7"/>
      <c r="D899" s="7"/>
      <c r="E899" s="7"/>
      <c r="F899" s="7"/>
    </row>
    <row r="900" ht="15.75" customHeight="1">
      <c r="A900" s="7"/>
      <c r="B900" s="7"/>
      <c r="C900" s="7"/>
      <c r="D900" s="7"/>
      <c r="E900" s="7"/>
      <c r="F900" s="7"/>
    </row>
    <row r="901" ht="15.75" customHeight="1">
      <c r="A901" s="7"/>
      <c r="B901" s="7"/>
      <c r="C901" s="7"/>
      <c r="D901" s="7"/>
      <c r="E901" s="7"/>
      <c r="F901" s="7"/>
    </row>
    <row r="902" ht="15.75" customHeight="1">
      <c r="A902" s="7"/>
      <c r="B902" s="7"/>
      <c r="C902" s="7"/>
      <c r="D902" s="7"/>
      <c r="E902" s="7"/>
      <c r="F902" s="7"/>
    </row>
    <row r="903" ht="15.75" customHeight="1">
      <c r="A903" s="7"/>
      <c r="B903" s="7"/>
      <c r="C903" s="7"/>
      <c r="D903" s="7"/>
      <c r="E903" s="7"/>
      <c r="F903" s="7"/>
    </row>
    <row r="904" ht="15.75" customHeight="1">
      <c r="A904" s="7"/>
      <c r="B904" s="7"/>
      <c r="C904" s="7"/>
      <c r="D904" s="7"/>
      <c r="E904" s="7"/>
      <c r="F904" s="7"/>
    </row>
    <row r="905" ht="15.75" customHeight="1">
      <c r="A905" s="7"/>
      <c r="B905" s="7"/>
      <c r="C905" s="7"/>
      <c r="D905" s="7"/>
      <c r="E905" s="7"/>
      <c r="F905" s="7"/>
    </row>
    <row r="906" ht="15.75" customHeight="1">
      <c r="A906" s="7"/>
      <c r="B906" s="7"/>
      <c r="C906" s="7"/>
      <c r="D906" s="7"/>
      <c r="E906" s="7"/>
      <c r="F906" s="7"/>
    </row>
    <row r="907" ht="15.75" customHeight="1">
      <c r="A907" s="7"/>
      <c r="B907" s="7"/>
      <c r="C907" s="7"/>
      <c r="D907" s="7"/>
      <c r="E907" s="7"/>
      <c r="F907" s="7"/>
    </row>
    <row r="908" ht="15.75" customHeight="1">
      <c r="A908" s="7"/>
      <c r="B908" s="7"/>
      <c r="C908" s="7"/>
      <c r="D908" s="7"/>
      <c r="E908" s="7"/>
      <c r="F908" s="7"/>
    </row>
    <row r="909" ht="15.75" customHeight="1">
      <c r="A909" s="7"/>
      <c r="B909" s="7"/>
      <c r="C909" s="7"/>
      <c r="D909" s="7"/>
      <c r="E909" s="7"/>
      <c r="F909" s="7"/>
    </row>
    <row r="910" ht="15.75" customHeight="1">
      <c r="A910" s="7"/>
      <c r="B910" s="7"/>
      <c r="C910" s="7"/>
      <c r="D910" s="7"/>
      <c r="E910" s="7"/>
      <c r="F910" s="7"/>
    </row>
    <row r="911" ht="15.75" customHeight="1">
      <c r="A911" s="7"/>
      <c r="B911" s="7"/>
      <c r="C911" s="7"/>
      <c r="D911" s="7"/>
      <c r="E911" s="7"/>
      <c r="F911" s="7"/>
    </row>
    <row r="912" ht="15.75" customHeight="1">
      <c r="A912" s="7"/>
      <c r="B912" s="7"/>
      <c r="C912" s="7"/>
      <c r="D912" s="7"/>
      <c r="E912" s="7"/>
      <c r="F912" s="7"/>
    </row>
    <row r="913" ht="15.75" customHeight="1">
      <c r="A913" s="7"/>
      <c r="B913" s="7"/>
      <c r="C913" s="7"/>
      <c r="D913" s="7"/>
      <c r="E913" s="7"/>
      <c r="F913" s="7"/>
    </row>
    <row r="914" ht="15.75" customHeight="1">
      <c r="A914" s="7"/>
      <c r="B914" s="7"/>
      <c r="C914" s="7"/>
      <c r="D914" s="7"/>
      <c r="E914" s="7"/>
      <c r="F914" s="7"/>
    </row>
    <row r="915" ht="15.75" customHeight="1">
      <c r="A915" s="7"/>
      <c r="B915" s="7"/>
      <c r="C915" s="7"/>
      <c r="D915" s="7"/>
      <c r="E915" s="7"/>
      <c r="F915" s="7"/>
    </row>
    <row r="916" ht="15.75" customHeight="1">
      <c r="A916" s="7"/>
      <c r="B916" s="7"/>
      <c r="C916" s="7"/>
      <c r="D916" s="7"/>
      <c r="E916" s="7"/>
      <c r="F916" s="7"/>
    </row>
    <row r="917" ht="15.75" customHeight="1">
      <c r="A917" s="7"/>
      <c r="B917" s="7"/>
      <c r="C917" s="7"/>
      <c r="D917" s="7"/>
      <c r="E917" s="7"/>
      <c r="F917" s="7"/>
    </row>
    <row r="918" ht="15.75" customHeight="1">
      <c r="A918" s="7"/>
      <c r="B918" s="7"/>
      <c r="C918" s="7"/>
      <c r="D918" s="7"/>
      <c r="E918" s="7"/>
      <c r="F918" s="7"/>
    </row>
    <row r="919" ht="15.75" customHeight="1">
      <c r="A919" s="7"/>
      <c r="B919" s="7"/>
      <c r="C919" s="7"/>
      <c r="D919" s="7"/>
      <c r="E919" s="7"/>
      <c r="F919" s="7"/>
    </row>
    <row r="920" ht="15.75" customHeight="1">
      <c r="A920" s="7"/>
      <c r="B920" s="7"/>
      <c r="C920" s="7"/>
      <c r="D920" s="7"/>
      <c r="E920" s="7"/>
      <c r="F920" s="7"/>
    </row>
    <row r="921" ht="15.75" customHeight="1">
      <c r="A921" s="7"/>
      <c r="B921" s="7"/>
      <c r="C921" s="7"/>
      <c r="D921" s="7"/>
      <c r="E921" s="7"/>
      <c r="F921" s="7"/>
    </row>
    <row r="922" ht="15.75" customHeight="1">
      <c r="A922" s="7"/>
      <c r="B922" s="7"/>
      <c r="C922" s="7"/>
      <c r="D922" s="7"/>
      <c r="E922" s="7"/>
      <c r="F922" s="7"/>
    </row>
    <row r="923" ht="15.75" customHeight="1">
      <c r="A923" s="7"/>
      <c r="B923" s="7"/>
      <c r="C923" s="7"/>
      <c r="D923" s="7"/>
      <c r="E923" s="7"/>
      <c r="F923" s="7"/>
    </row>
    <row r="924" ht="15.75" customHeight="1">
      <c r="A924" s="7"/>
      <c r="B924" s="7"/>
      <c r="C924" s="7"/>
      <c r="D924" s="7"/>
      <c r="E924" s="7"/>
      <c r="F924" s="7"/>
    </row>
    <row r="925" ht="15.75" customHeight="1">
      <c r="A925" s="7"/>
      <c r="B925" s="7"/>
      <c r="C925" s="7"/>
      <c r="D925" s="7"/>
      <c r="E925" s="7"/>
      <c r="F925" s="7"/>
    </row>
    <row r="926" ht="15.75" customHeight="1">
      <c r="A926" s="7"/>
      <c r="B926" s="7"/>
      <c r="C926" s="7"/>
      <c r="D926" s="7"/>
      <c r="E926" s="7"/>
      <c r="F926" s="7"/>
    </row>
    <row r="927" ht="15.75" customHeight="1">
      <c r="A927" s="7"/>
      <c r="B927" s="7"/>
      <c r="C927" s="7"/>
      <c r="D927" s="7"/>
      <c r="E927" s="7"/>
      <c r="F927" s="7"/>
    </row>
    <row r="928" ht="15.75" customHeight="1">
      <c r="A928" s="7"/>
      <c r="B928" s="7"/>
      <c r="C928" s="7"/>
      <c r="D928" s="7"/>
      <c r="E928" s="7"/>
      <c r="F928" s="7"/>
    </row>
    <row r="929" ht="15.75" customHeight="1">
      <c r="A929" s="7"/>
      <c r="B929" s="7"/>
      <c r="C929" s="7"/>
      <c r="D929" s="7"/>
      <c r="E929" s="7"/>
      <c r="F929" s="7"/>
    </row>
    <row r="930" ht="15.75" customHeight="1">
      <c r="A930" s="7"/>
      <c r="B930" s="7"/>
      <c r="C930" s="7"/>
      <c r="D930" s="7"/>
      <c r="E930" s="7"/>
      <c r="F930" s="7"/>
    </row>
    <row r="931" ht="15.75" customHeight="1">
      <c r="A931" s="7"/>
      <c r="B931" s="7"/>
      <c r="C931" s="7"/>
      <c r="D931" s="7"/>
      <c r="E931" s="7"/>
      <c r="F931" s="7"/>
    </row>
    <row r="932" ht="15.75" customHeight="1">
      <c r="A932" s="7"/>
      <c r="B932" s="7"/>
      <c r="C932" s="7"/>
      <c r="D932" s="7"/>
      <c r="E932" s="7"/>
      <c r="F932" s="7"/>
    </row>
    <row r="933" ht="15.75" customHeight="1">
      <c r="A933" s="7"/>
      <c r="B933" s="7"/>
      <c r="C933" s="7"/>
      <c r="D933" s="7"/>
      <c r="E933" s="7"/>
      <c r="F933" s="7"/>
    </row>
    <row r="934" ht="15.75" customHeight="1">
      <c r="A934" s="7"/>
      <c r="B934" s="7"/>
      <c r="C934" s="7"/>
      <c r="D934" s="7"/>
      <c r="E934" s="7"/>
      <c r="F934" s="7"/>
    </row>
    <row r="935" ht="15.75" customHeight="1">
      <c r="A935" s="7"/>
      <c r="B935" s="7"/>
      <c r="C935" s="7"/>
      <c r="D935" s="7"/>
      <c r="E935" s="7"/>
      <c r="F935" s="7"/>
    </row>
    <row r="936" ht="15.75" customHeight="1">
      <c r="A936" s="7"/>
      <c r="B936" s="7"/>
      <c r="C936" s="7"/>
      <c r="D936" s="7"/>
      <c r="E936" s="7"/>
      <c r="F936" s="7"/>
    </row>
    <row r="937" ht="15.75" customHeight="1">
      <c r="A937" s="7"/>
      <c r="B937" s="7"/>
      <c r="C937" s="7"/>
      <c r="D937" s="7"/>
      <c r="E937" s="7"/>
      <c r="F937" s="7"/>
    </row>
    <row r="938" ht="15.75" customHeight="1">
      <c r="A938" s="7"/>
      <c r="B938" s="7"/>
      <c r="C938" s="7"/>
      <c r="D938" s="7"/>
      <c r="E938" s="7"/>
      <c r="F938" s="7"/>
    </row>
    <row r="939" ht="15.75" customHeight="1">
      <c r="A939" s="7"/>
      <c r="B939" s="7"/>
      <c r="C939" s="7"/>
      <c r="D939" s="7"/>
      <c r="E939" s="7"/>
      <c r="F939" s="7"/>
    </row>
    <row r="940" ht="15.75" customHeight="1">
      <c r="A940" s="7"/>
      <c r="B940" s="7"/>
      <c r="C940" s="7"/>
      <c r="D940" s="7"/>
      <c r="E940" s="7"/>
      <c r="F940" s="7"/>
    </row>
    <row r="941" ht="15.75" customHeight="1">
      <c r="A941" s="7"/>
      <c r="B941" s="7"/>
      <c r="C941" s="7"/>
      <c r="D941" s="7"/>
      <c r="E941" s="7"/>
      <c r="F941" s="7"/>
    </row>
    <row r="942" ht="15.75" customHeight="1">
      <c r="A942" s="7"/>
      <c r="B942" s="7"/>
      <c r="C942" s="7"/>
      <c r="D942" s="7"/>
      <c r="E942" s="7"/>
      <c r="F942" s="7"/>
    </row>
    <row r="943" ht="15.75" customHeight="1">
      <c r="A943" s="7"/>
      <c r="B943" s="7"/>
      <c r="C943" s="7"/>
      <c r="D943" s="7"/>
      <c r="E943" s="7"/>
      <c r="F943" s="7"/>
    </row>
    <row r="944" ht="15.75" customHeight="1">
      <c r="A944" s="7"/>
      <c r="B944" s="7"/>
      <c r="C944" s="7"/>
      <c r="D944" s="7"/>
      <c r="E944" s="7"/>
      <c r="F944" s="7"/>
    </row>
    <row r="945" ht="15.75" customHeight="1">
      <c r="A945" s="7"/>
      <c r="B945" s="7"/>
      <c r="C945" s="7"/>
      <c r="D945" s="7"/>
      <c r="E945" s="7"/>
      <c r="F945" s="7"/>
    </row>
    <row r="946" ht="15.75" customHeight="1">
      <c r="A946" s="7"/>
      <c r="B946" s="7"/>
      <c r="C946" s="7"/>
      <c r="D946" s="7"/>
      <c r="E946" s="7"/>
      <c r="F946" s="7"/>
    </row>
    <row r="947" ht="15.75" customHeight="1">
      <c r="A947" s="7"/>
      <c r="B947" s="7"/>
      <c r="C947" s="7"/>
      <c r="D947" s="7"/>
      <c r="E947" s="7"/>
      <c r="F947" s="7"/>
    </row>
    <row r="948" ht="15.75" customHeight="1">
      <c r="A948" s="7"/>
      <c r="B948" s="7"/>
      <c r="C948" s="7"/>
      <c r="D948" s="7"/>
      <c r="E948" s="7"/>
      <c r="F948" s="7"/>
    </row>
    <row r="949" ht="15.75" customHeight="1">
      <c r="A949" s="7"/>
      <c r="B949" s="7"/>
      <c r="C949" s="7"/>
      <c r="D949" s="7"/>
      <c r="E949" s="7"/>
      <c r="F949" s="7"/>
    </row>
    <row r="950" ht="15.75" customHeight="1">
      <c r="A950" s="7"/>
      <c r="B950" s="7"/>
      <c r="C950" s="7"/>
      <c r="D950" s="7"/>
      <c r="E950" s="7"/>
      <c r="F950" s="7"/>
    </row>
    <row r="951" ht="15.75" customHeight="1">
      <c r="A951" s="7"/>
      <c r="B951" s="7"/>
      <c r="C951" s="7"/>
      <c r="D951" s="7"/>
      <c r="E951" s="7"/>
      <c r="F951" s="7"/>
    </row>
    <row r="952" ht="15.75" customHeight="1">
      <c r="A952" s="7"/>
      <c r="B952" s="7"/>
      <c r="C952" s="7"/>
      <c r="D952" s="7"/>
      <c r="E952" s="7"/>
      <c r="F952" s="7"/>
    </row>
    <row r="953" ht="15.75" customHeight="1">
      <c r="A953" s="7"/>
      <c r="B953" s="7"/>
      <c r="C953" s="7"/>
      <c r="D953" s="7"/>
      <c r="E953" s="7"/>
      <c r="F953" s="7"/>
    </row>
    <row r="954" ht="15.75" customHeight="1">
      <c r="A954" s="7"/>
      <c r="B954" s="7"/>
      <c r="C954" s="7"/>
      <c r="D954" s="7"/>
      <c r="E954" s="7"/>
      <c r="F954" s="7"/>
    </row>
    <row r="955" ht="15.75" customHeight="1">
      <c r="A955" s="7"/>
      <c r="B955" s="7"/>
      <c r="C955" s="7"/>
      <c r="D955" s="7"/>
      <c r="E955" s="7"/>
      <c r="F955" s="7"/>
    </row>
    <row r="956" ht="15.75" customHeight="1">
      <c r="A956" s="7"/>
      <c r="B956" s="7"/>
      <c r="C956" s="7"/>
      <c r="D956" s="7"/>
      <c r="E956" s="7"/>
      <c r="F956" s="7"/>
    </row>
    <row r="957" ht="15.75" customHeight="1">
      <c r="A957" s="7"/>
      <c r="B957" s="7"/>
      <c r="C957" s="7"/>
      <c r="D957" s="7"/>
      <c r="E957" s="7"/>
      <c r="F957" s="7"/>
    </row>
    <row r="958" ht="15.75" customHeight="1">
      <c r="A958" s="7"/>
      <c r="B958" s="7"/>
      <c r="C958" s="7"/>
      <c r="D958" s="7"/>
      <c r="E958" s="7"/>
      <c r="F958" s="7"/>
    </row>
    <row r="959" ht="15.75" customHeight="1">
      <c r="A959" s="7"/>
      <c r="B959" s="7"/>
      <c r="C959" s="7"/>
      <c r="D959" s="7"/>
      <c r="E959" s="7"/>
      <c r="F959" s="7"/>
    </row>
    <row r="960" ht="15.75" customHeight="1">
      <c r="A960" s="7"/>
      <c r="B960" s="7"/>
      <c r="C960" s="7"/>
      <c r="D960" s="7"/>
      <c r="E960" s="7"/>
      <c r="F960" s="7"/>
    </row>
    <row r="961" ht="15.75" customHeight="1">
      <c r="A961" s="7"/>
      <c r="B961" s="7"/>
      <c r="C961" s="7"/>
      <c r="D961" s="7"/>
      <c r="E961" s="7"/>
      <c r="F961" s="7"/>
    </row>
    <row r="962" ht="15.75" customHeight="1">
      <c r="A962" s="7"/>
      <c r="B962" s="7"/>
      <c r="C962" s="7"/>
      <c r="D962" s="7"/>
      <c r="E962" s="7"/>
      <c r="F962" s="7"/>
    </row>
    <row r="963" ht="15.75" customHeight="1">
      <c r="A963" s="7"/>
      <c r="B963" s="7"/>
      <c r="C963" s="7"/>
      <c r="D963" s="7"/>
      <c r="E963" s="7"/>
      <c r="F963" s="7"/>
    </row>
    <row r="964" ht="15.75" customHeight="1">
      <c r="A964" s="7"/>
      <c r="B964" s="7"/>
      <c r="C964" s="7"/>
      <c r="D964" s="7"/>
      <c r="E964" s="7"/>
      <c r="F964" s="7"/>
    </row>
    <row r="965" ht="15.75" customHeight="1">
      <c r="A965" s="7"/>
      <c r="B965" s="7"/>
      <c r="C965" s="7"/>
      <c r="D965" s="7"/>
      <c r="E965" s="7"/>
      <c r="F965" s="7"/>
    </row>
    <row r="966" ht="15.75" customHeight="1">
      <c r="A966" s="7"/>
      <c r="B966" s="7"/>
      <c r="C966" s="7"/>
      <c r="D966" s="7"/>
      <c r="E966" s="7"/>
      <c r="F966" s="7"/>
    </row>
    <row r="967" ht="15.75" customHeight="1">
      <c r="A967" s="7"/>
      <c r="B967" s="7"/>
      <c r="C967" s="7"/>
      <c r="D967" s="7"/>
      <c r="E967" s="7"/>
      <c r="F967" s="7"/>
    </row>
    <row r="968" ht="15.75" customHeight="1">
      <c r="A968" s="7"/>
      <c r="B968" s="7"/>
      <c r="C968" s="7"/>
      <c r="D968" s="7"/>
      <c r="E968" s="7"/>
      <c r="F968" s="7"/>
    </row>
    <row r="969" ht="15.75" customHeight="1">
      <c r="A969" s="7"/>
      <c r="B969" s="7"/>
      <c r="C969" s="7"/>
      <c r="D969" s="7"/>
      <c r="E969" s="7"/>
      <c r="F969" s="7"/>
    </row>
    <row r="970" ht="15.75" customHeight="1">
      <c r="A970" s="7"/>
      <c r="B970" s="7"/>
      <c r="C970" s="7"/>
      <c r="D970" s="7"/>
      <c r="E970" s="7"/>
      <c r="F970" s="7"/>
    </row>
    <row r="971" ht="15.75" customHeight="1">
      <c r="A971" s="7"/>
      <c r="B971" s="7"/>
      <c r="C971" s="7"/>
      <c r="D971" s="7"/>
      <c r="E971" s="7"/>
      <c r="F971" s="7"/>
    </row>
    <row r="972" ht="15.75" customHeight="1">
      <c r="A972" s="7"/>
      <c r="B972" s="7"/>
      <c r="C972" s="7"/>
      <c r="D972" s="7"/>
      <c r="E972" s="7"/>
      <c r="F972" s="7"/>
    </row>
    <row r="973" ht="15.75" customHeight="1">
      <c r="A973" s="7"/>
      <c r="B973" s="7"/>
      <c r="C973" s="7"/>
      <c r="D973" s="7"/>
      <c r="E973" s="7"/>
      <c r="F973" s="7"/>
    </row>
    <row r="974" ht="15.75" customHeight="1">
      <c r="A974" s="7"/>
      <c r="B974" s="7"/>
      <c r="C974" s="7"/>
      <c r="D974" s="7"/>
      <c r="E974" s="7"/>
      <c r="F974" s="7"/>
    </row>
    <row r="975" ht="15.75" customHeight="1">
      <c r="A975" s="7"/>
      <c r="B975" s="7"/>
      <c r="C975" s="7"/>
      <c r="D975" s="7"/>
      <c r="E975" s="7"/>
      <c r="F975" s="7"/>
    </row>
    <row r="976" ht="15.75" customHeight="1">
      <c r="A976" s="7"/>
      <c r="B976" s="7"/>
      <c r="C976" s="7"/>
      <c r="D976" s="7"/>
      <c r="E976" s="7"/>
      <c r="F976" s="7"/>
    </row>
    <row r="977" ht="15.75" customHeight="1">
      <c r="A977" s="7"/>
      <c r="B977" s="7"/>
      <c r="C977" s="7"/>
      <c r="D977" s="7"/>
      <c r="E977" s="7"/>
      <c r="F977" s="7"/>
    </row>
    <row r="978" ht="15.75" customHeight="1">
      <c r="A978" s="7"/>
      <c r="B978" s="7"/>
      <c r="C978" s="7"/>
      <c r="D978" s="7"/>
      <c r="E978" s="7"/>
      <c r="F978" s="7"/>
    </row>
    <row r="979" ht="15.75" customHeight="1">
      <c r="A979" s="7"/>
      <c r="B979" s="7"/>
      <c r="C979" s="7"/>
      <c r="D979" s="7"/>
      <c r="E979" s="7"/>
      <c r="F979" s="7"/>
    </row>
    <row r="980" ht="15.75" customHeight="1">
      <c r="A980" s="7"/>
      <c r="B980" s="7"/>
      <c r="C980" s="7"/>
      <c r="D980" s="7"/>
      <c r="E980" s="7"/>
      <c r="F980" s="7"/>
    </row>
    <row r="981" ht="15.75" customHeight="1">
      <c r="A981" s="7"/>
      <c r="B981" s="7"/>
      <c r="C981" s="7"/>
      <c r="D981" s="7"/>
      <c r="E981" s="7"/>
      <c r="F981" s="7"/>
    </row>
    <row r="982" ht="15.75" customHeight="1">
      <c r="A982" s="7"/>
      <c r="B982" s="7"/>
      <c r="C982" s="7"/>
      <c r="D982" s="7"/>
      <c r="E982" s="7"/>
      <c r="F982" s="7"/>
    </row>
    <row r="983" ht="15.75" customHeight="1">
      <c r="A983" s="7"/>
      <c r="B983" s="7"/>
      <c r="C983" s="7"/>
      <c r="D983" s="7"/>
      <c r="E983" s="7"/>
      <c r="F983" s="7"/>
    </row>
    <row r="984" ht="15.75" customHeight="1">
      <c r="A984" s="7"/>
      <c r="B984" s="7"/>
      <c r="C984" s="7"/>
      <c r="D984" s="7"/>
      <c r="E984" s="7"/>
      <c r="F984" s="7"/>
    </row>
    <row r="985" ht="15.75" customHeight="1">
      <c r="A985" s="7"/>
      <c r="B985" s="7"/>
      <c r="C985" s="7"/>
      <c r="D985" s="7"/>
      <c r="E985" s="7"/>
      <c r="F985" s="7"/>
    </row>
    <row r="986" ht="15.75" customHeight="1">
      <c r="A986" s="7"/>
      <c r="B986" s="7"/>
      <c r="C986" s="7"/>
      <c r="D986" s="7"/>
      <c r="E986" s="7"/>
      <c r="F986" s="7"/>
    </row>
    <row r="987" ht="15.75" customHeight="1">
      <c r="A987" s="7"/>
      <c r="B987" s="7"/>
      <c r="C987" s="7"/>
      <c r="D987" s="7"/>
      <c r="E987" s="7"/>
      <c r="F987" s="7"/>
    </row>
    <row r="988" ht="15.75" customHeight="1">
      <c r="A988" s="7"/>
      <c r="B988" s="7"/>
      <c r="C988" s="7"/>
      <c r="D988" s="7"/>
      <c r="E988" s="7"/>
      <c r="F988" s="7"/>
    </row>
    <row r="989" ht="15.75" customHeight="1">
      <c r="A989" s="7"/>
      <c r="B989" s="7"/>
      <c r="C989" s="7"/>
      <c r="D989" s="7"/>
      <c r="E989" s="7"/>
      <c r="F989" s="7"/>
    </row>
    <row r="990" ht="15.75" customHeight="1">
      <c r="A990" s="7"/>
      <c r="B990" s="7"/>
      <c r="C990" s="7"/>
      <c r="D990" s="7"/>
      <c r="E990" s="7"/>
      <c r="F990" s="7"/>
    </row>
    <row r="991" ht="15.75" customHeight="1">
      <c r="A991" s="7"/>
      <c r="B991" s="7"/>
      <c r="C991" s="7"/>
      <c r="D991" s="7"/>
      <c r="E991" s="7"/>
      <c r="F991" s="7"/>
    </row>
    <row r="992" ht="15.75" customHeight="1">
      <c r="A992" s="7"/>
      <c r="B992" s="7"/>
      <c r="C992" s="7"/>
      <c r="D992" s="7"/>
      <c r="E992" s="7"/>
      <c r="F992" s="7"/>
    </row>
    <row r="993" ht="15.75" customHeight="1">
      <c r="A993" s="7"/>
      <c r="B993" s="7"/>
      <c r="C993" s="7"/>
      <c r="D993" s="7"/>
      <c r="E993" s="7"/>
      <c r="F993" s="7"/>
    </row>
    <row r="994" ht="15.75" customHeight="1">
      <c r="A994" s="7"/>
      <c r="B994" s="7"/>
      <c r="C994" s="7"/>
      <c r="D994" s="7"/>
      <c r="E994" s="7"/>
      <c r="F994" s="7"/>
    </row>
    <row r="995" ht="15.75" customHeight="1">
      <c r="A995" s="7"/>
      <c r="B995" s="7"/>
      <c r="C995" s="7"/>
      <c r="D995" s="7"/>
      <c r="E995" s="7"/>
      <c r="F995" s="7"/>
    </row>
    <row r="996" ht="15.75" customHeight="1">
      <c r="A996" s="7"/>
      <c r="B996" s="7"/>
      <c r="C996" s="7"/>
      <c r="D996" s="7"/>
      <c r="E996" s="7"/>
      <c r="F996" s="7"/>
    </row>
    <row r="997" ht="15.75" customHeight="1">
      <c r="A997" s="7"/>
      <c r="B997" s="7"/>
      <c r="C997" s="7"/>
      <c r="D997" s="7"/>
      <c r="E997" s="7"/>
      <c r="F997" s="7"/>
    </row>
    <row r="998" ht="15.75" customHeight="1">
      <c r="A998" s="7"/>
      <c r="B998" s="7"/>
      <c r="C998" s="7"/>
      <c r="D998" s="7"/>
      <c r="E998" s="7"/>
      <c r="F998" s="7"/>
    </row>
    <row r="999" ht="15.75" customHeight="1">
      <c r="A999" s="7"/>
      <c r="B999" s="7"/>
      <c r="C999" s="7"/>
      <c r="D999" s="7"/>
      <c r="E999" s="7"/>
      <c r="F999" s="7"/>
    </row>
    <row r="1000" ht="15.75" customHeight="1">
      <c r="A1000" s="7"/>
      <c r="B1000" s="7"/>
      <c r="C1000" s="7"/>
      <c r="D1000" s="7"/>
      <c r="E1000" s="7"/>
      <c r="F1000" s="7"/>
    </row>
  </sheetData>
  <mergeCells count="2">
    <mergeCell ref="A1:F1"/>
    <mergeCell ref="A12:F12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8.0"/>
    <col customWidth="1" min="3" max="7" width="16.0"/>
    <col customWidth="1" min="8" max="8" width="42.0"/>
    <col customWidth="1" min="9" max="26" width="8.71"/>
  </cols>
  <sheetData>
    <row r="1" ht="31.5" customHeight="1">
      <c r="A1" s="8" t="s">
        <v>144</v>
      </c>
      <c r="B1" s="2"/>
      <c r="C1" s="2"/>
      <c r="D1" s="2"/>
      <c r="E1" s="2"/>
      <c r="F1" s="2"/>
      <c r="G1" s="2"/>
      <c r="H1" s="3"/>
    </row>
    <row r="2" ht="19.5" customHeight="1">
      <c r="A2" s="49" t="s">
        <v>145</v>
      </c>
      <c r="B2" s="2"/>
      <c r="C2" s="2"/>
      <c r="D2" s="2"/>
      <c r="E2" s="2"/>
      <c r="F2" s="2"/>
      <c r="G2" s="2"/>
      <c r="H2" s="3"/>
    </row>
    <row r="3" ht="18.0" customHeight="1">
      <c r="A3" s="50" t="s">
        <v>146</v>
      </c>
      <c r="B3" s="2"/>
      <c r="C3" s="2"/>
      <c r="D3" s="2"/>
      <c r="E3" s="2"/>
      <c r="F3" s="2"/>
      <c r="G3" s="2"/>
      <c r="H3" s="3"/>
    </row>
    <row r="4" ht="18.0" customHeight="1">
      <c r="A4" s="50" t="s">
        <v>147</v>
      </c>
      <c r="B4" s="2"/>
      <c r="C4" s="2"/>
      <c r="D4" s="2"/>
      <c r="E4" s="2"/>
      <c r="F4" s="2"/>
      <c r="G4" s="2"/>
      <c r="H4" s="3"/>
    </row>
    <row r="5" ht="30.0" customHeight="1">
      <c r="A5" s="51" t="s">
        <v>148</v>
      </c>
      <c r="B5" s="3"/>
      <c r="C5" s="52">
        <v>0.1</v>
      </c>
      <c r="D5" s="52">
        <v>0.2</v>
      </c>
      <c r="E5" s="52">
        <v>0.3</v>
      </c>
      <c r="F5" s="52">
        <v>0.4</v>
      </c>
      <c r="G5" s="52">
        <v>0.5</v>
      </c>
      <c r="H5" s="7"/>
    </row>
    <row r="6" ht="19.5" customHeight="1">
      <c r="A6" s="53">
        <v>0.1</v>
      </c>
      <c r="B6" s="3"/>
      <c r="C6" s="54">
        <v>9572792.28193205</v>
      </c>
      <c r="D6" s="55">
        <v>1.05118259108494E7</v>
      </c>
      <c r="E6" s="54">
        <v>9446306.44919975</v>
      </c>
      <c r="F6" s="56">
        <v>8566629.61208376</v>
      </c>
      <c r="G6" s="57">
        <v>6106007.11334937</v>
      </c>
      <c r="H6" s="7"/>
    </row>
    <row r="7" ht="19.5" customHeight="1">
      <c r="A7" s="53">
        <v>0.2</v>
      </c>
      <c r="B7" s="3"/>
      <c r="C7" s="56">
        <v>8509148.69505071</v>
      </c>
      <c r="D7" s="54">
        <v>9343845.25408837</v>
      </c>
      <c r="E7" s="56">
        <v>8396716.84373312</v>
      </c>
      <c r="F7" s="56">
        <v>7614781.87740779</v>
      </c>
      <c r="G7" s="57">
        <v>5427561.87853277</v>
      </c>
      <c r="H7" s="7"/>
    </row>
    <row r="8" ht="19.5" customHeight="1">
      <c r="A8" s="53">
        <v>0.3</v>
      </c>
      <c r="B8" s="3"/>
      <c r="C8" s="56">
        <v>7445505.10816937</v>
      </c>
      <c r="D8" s="56">
        <v>8175864.59732733</v>
      </c>
      <c r="E8" s="58">
        <v>7347127.23826648</v>
      </c>
      <c r="F8" s="57">
        <v>6662934.14273181</v>
      </c>
      <c r="G8" s="57">
        <v>4749116.64371617</v>
      </c>
      <c r="H8" s="7"/>
    </row>
    <row r="9" ht="19.5" customHeight="1">
      <c r="A9" s="53">
        <v>0.4</v>
      </c>
      <c r="B9" s="3"/>
      <c r="C9" s="57">
        <v>6381861.52128803</v>
      </c>
      <c r="D9" s="56">
        <v>7007883.94056628</v>
      </c>
      <c r="E9" s="57">
        <v>6297537.63279984</v>
      </c>
      <c r="F9" s="57">
        <v>5711086.40805584</v>
      </c>
      <c r="G9" s="57">
        <v>4070671.40889958</v>
      </c>
      <c r="H9" s="7"/>
    </row>
    <row r="10" ht="19.5" customHeight="1">
      <c r="A10" s="53">
        <v>0.5</v>
      </c>
      <c r="B10" s="3"/>
      <c r="C10" s="57">
        <v>5318217.93440669</v>
      </c>
      <c r="D10" s="57">
        <v>5839903.28380523</v>
      </c>
      <c r="E10" s="57">
        <v>5247948.0273332</v>
      </c>
      <c r="F10" s="57">
        <v>4759238.67337987</v>
      </c>
      <c r="G10" s="57">
        <v>3392226.17408298</v>
      </c>
      <c r="H10" s="7"/>
    </row>
    <row r="11">
      <c r="A11" s="7"/>
      <c r="B11" s="7"/>
      <c r="C11" s="7"/>
      <c r="D11" s="7"/>
      <c r="E11" s="7"/>
      <c r="F11" s="7"/>
      <c r="G11" s="7"/>
      <c r="H11" s="7"/>
    </row>
    <row r="12" ht="18.0" customHeight="1">
      <c r="A12" s="22" t="s">
        <v>149</v>
      </c>
      <c r="B12" s="2"/>
      <c r="C12" s="2"/>
      <c r="D12" s="2"/>
      <c r="E12" s="2"/>
      <c r="F12" s="2"/>
      <c r="G12" s="2"/>
      <c r="H12" s="3"/>
    </row>
    <row r="13" ht="18.0" customHeight="1">
      <c r="A13" s="59" t="s">
        <v>150</v>
      </c>
      <c r="B13" s="3"/>
      <c r="C13" s="60" t="s">
        <v>151</v>
      </c>
    </row>
    <row r="14" ht="18.0" customHeight="1">
      <c r="A14" s="61" t="s">
        <v>152</v>
      </c>
      <c r="B14" s="3"/>
      <c r="C14" s="60" t="s">
        <v>153</v>
      </c>
    </row>
    <row r="15" ht="18.0" customHeight="1">
      <c r="A15" s="62" t="s">
        <v>154</v>
      </c>
      <c r="B15" s="3"/>
      <c r="C15" s="60" t="s">
        <v>155</v>
      </c>
    </row>
    <row r="16" ht="18.0" customHeight="1">
      <c r="A16" s="63" t="s">
        <v>156</v>
      </c>
      <c r="B16" s="3"/>
      <c r="C16" s="60" t="s">
        <v>157</v>
      </c>
    </row>
    <row r="17" ht="18.0" customHeight="1">
      <c r="A17" s="64" t="s">
        <v>158</v>
      </c>
      <c r="B17" s="3"/>
      <c r="C17" s="60" t="s">
        <v>159</v>
      </c>
    </row>
    <row r="18">
      <c r="A18" s="7"/>
      <c r="B18" s="7"/>
      <c r="C18" s="7"/>
      <c r="D18" s="7"/>
      <c r="E18" s="7"/>
      <c r="F18" s="7"/>
      <c r="G18" s="7"/>
      <c r="H18" s="7"/>
    </row>
    <row r="19">
      <c r="A19" s="7"/>
      <c r="B19" s="7"/>
      <c r="C19" s="7"/>
      <c r="D19" s="7"/>
      <c r="E19" s="7"/>
      <c r="F19" s="7"/>
      <c r="G19" s="7"/>
      <c r="H19" s="7"/>
    </row>
    <row r="20">
      <c r="A20" s="7"/>
      <c r="B20" s="7"/>
      <c r="C20" s="7"/>
      <c r="D20" s="7"/>
      <c r="E20" s="7"/>
      <c r="F20" s="7"/>
      <c r="G20" s="7"/>
      <c r="H20" s="7"/>
    </row>
    <row r="21" ht="15.75" customHeight="1">
      <c r="A21" s="7"/>
      <c r="B21" s="7"/>
      <c r="C21" s="7"/>
      <c r="D21" s="7"/>
      <c r="E21" s="7"/>
      <c r="F21" s="7"/>
      <c r="G21" s="7"/>
      <c r="H21" s="7"/>
    </row>
    <row r="22" ht="15.75" customHeight="1">
      <c r="A22" s="7"/>
      <c r="B22" s="7"/>
      <c r="C22" s="7"/>
      <c r="D22" s="7"/>
      <c r="E22" s="7"/>
      <c r="F22" s="7"/>
      <c r="G22" s="7"/>
      <c r="H22" s="7"/>
    </row>
    <row r="23" ht="15.75" customHeight="1">
      <c r="A23" s="7"/>
      <c r="B23" s="7"/>
      <c r="C23" s="7"/>
      <c r="D23" s="7"/>
      <c r="E23" s="7"/>
      <c r="F23" s="7"/>
      <c r="G23" s="7"/>
      <c r="H23" s="7"/>
    </row>
    <row r="24" ht="15.75" customHeight="1">
      <c r="A24" s="7"/>
      <c r="B24" s="7"/>
      <c r="C24" s="7"/>
      <c r="D24" s="7"/>
      <c r="E24" s="7"/>
      <c r="F24" s="7"/>
      <c r="G24" s="7"/>
      <c r="H24" s="7"/>
    </row>
    <row r="25" ht="15.75" customHeight="1">
      <c r="A25" s="7"/>
      <c r="B25" s="7"/>
      <c r="C25" s="7"/>
      <c r="D25" s="7"/>
      <c r="E25" s="7"/>
      <c r="F25" s="7"/>
      <c r="G25" s="7"/>
      <c r="H25" s="7"/>
    </row>
    <row r="26" ht="15.75" customHeight="1">
      <c r="A26" s="7"/>
      <c r="B26" s="7"/>
      <c r="C26" s="7"/>
      <c r="D26" s="7"/>
      <c r="E26" s="7"/>
      <c r="F26" s="7"/>
      <c r="G26" s="7"/>
      <c r="H26" s="7"/>
    </row>
    <row r="27" ht="15.75" customHeight="1">
      <c r="A27" s="7"/>
      <c r="B27" s="7"/>
      <c r="C27" s="7"/>
      <c r="D27" s="7"/>
      <c r="E27" s="7"/>
      <c r="F27" s="7"/>
      <c r="G27" s="7"/>
      <c r="H27" s="7"/>
    </row>
    <row r="28" ht="15.75" customHeight="1">
      <c r="A28" s="7"/>
      <c r="B28" s="7"/>
      <c r="C28" s="7"/>
      <c r="D28" s="7"/>
      <c r="E28" s="7"/>
      <c r="F28" s="7"/>
      <c r="G28" s="7"/>
      <c r="H28" s="7"/>
    </row>
    <row r="29" ht="15.75" customHeight="1">
      <c r="A29" s="7"/>
      <c r="B29" s="7"/>
      <c r="C29" s="7"/>
      <c r="D29" s="7"/>
      <c r="E29" s="7"/>
      <c r="F29" s="7"/>
      <c r="G29" s="7"/>
      <c r="H29" s="7"/>
    </row>
    <row r="30" ht="15.75" customHeight="1">
      <c r="A30" s="7"/>
      <c r="B30" s="7"/>
      <c r="C30" s="7"/>
      <c r="D30" s="7"/>
      <c r="E30" s="7"/>
      <c r="F30" s="7"/>
      <c r="G30" s="7"/>
      <c r="H30" s="7"/>
    </row>
    <row r="31" ht="15.75" customHeight="1">
      <c r="A31" s="7"/>
      <c r="B31" s="7"/>
      <c r="C31" s="7"/>
      <c r="D31" s="7"/>
      <c r="E31" s="7"/>
      <c r="F31" s="7"/>
      <c r="G31" s="7"/>
      <c r="H31" s="7"/>
    </row>
    <row r="32" ht="15.75" customHeight="1">
      <c r="A32" s="7"/>
      <c r="B32" s="7"/>
      <c r="C32" s="7"/>
      <c r="D32" s="7"/>
      <c r="E32" s="7"/>
      <c r="F32" s="7"/>
      <c r="G32" s="7"/>
      <c r="H32" s="7"/>
    </row>
    <row r="33" ht="15.75" customHeight="1">
      <c r="A33" s="7"/>
      <c r="B33" s="7"/>
      <c r="C33" s="7"/>
      <c r="D33" s="7"/>
      <c r="E33" s="7"/>
      <c r="F33" s="7"/>
      <c r="G33" s="7"/>
      <c r="H33" s="7"/>
    </row>
    <row r="34" ht="15.75" customHeight="1">
      <c r="A34" s="7"/>
      <c r="B34" s="7"/>
      <c r="C34" s="7"/>
      <c r="D34" s="7"/>
      <c r="E34" s="7"/>
      <c r="F34" s="7"/>
      <c r="G34" s="7"/>
      <c r="H34" s="7"/>
    </row>
    <row r="35" ht="15.75" customHeight="1">
      <c r="A35" s="7"/>
      <c r="B35" s="7"/>
      <c r="C35" s="7"/>
      <c r="D35" s="7"/>
      <c r="E35" s="7"/>
      <c r="F35" s="7"/>
      <c r="G35" s="7"/>
      <c r="H35" s="7"/>
    </row>
    <row r="36" ht="15.75" customHeight="1">
      <c r="A36" s="7"/>
      <c r="B36" s="7"/>
      <c r="C36" s="7"/>
      <c r="D36" s="7"/>
      <c r="E36" s="7"/>
      <c r="F36" s="7"/>
      <c r="G36" s="7"/>
      <c r="H36" s="7"/>
    </row>
    <row r="37" ht="15.75" customHeight="1">
      <c r="A37" s="7"/>
      <c r="B37" s="7"/>
      <c r="C37" s="7"/>
      <c r="D37" s="7"/>
      <c r="E37" s="7"/>
      <c r="F37" s="7"/>
      <c r="G37" s="7"/>
      <c r="H37" s="7"/>
    </row>
    <row r="38" ht="15.75" customHeight="1">
      <c r="A38" s="7"/>
      <c r="B38" s="7"/>
      <c r="C38" s="7"/>
      <c r="D38" s="7"/>
      <c r="E38" s="7"/>
      <c r="F38" s="7"/>
      <c r="G38" s="7"/>
      <c r="H38" s="7"/>
    </row>
    <row r="39" ht="15.75" customHeight="1">
      <c r="A39" s="7"/>
      <c r="B39" s="7"/>
      <c r="C39" s="7"/>
      <c r="D39" s="7"/>
      <c r="E39" s="7"/>
      <c r="F39" s="7"/>
      <c r="G39" s="7"/>
      <c r="H39" s="7"/>
    </row>
    <row r="40" ht="15.75" customHeight="1">
      <c r="A40" s="7"/>
      <c r="B40" s="7"/>
      <c r="C40" s="7"/>
      <c r="D40" s="7"/>
      <c r="E40" s="7"/>
      <c r="F40" s="7"/>
      <c r="G40" s="7"/>
      <c r="H40" s="7"/>
    </row>
    <row r="41" ht="15.75" customHeight="1">
      <c r="A41" s="7"/>
      <c r="B41" s="7"/>
      <c r="C41" s="7"/>
      <c r="D41" s="7"/>
      <c r="E41" s="7"/>
      <c r="F41" s="7"/>
      <c r="G41" s="7"/>
      <c r="H41" s="7"/>
    </row>
    <row r="42" ht="15.75" customHeight="1">
      <c r="A42" s="7"/>
      <c r="B42" s="7"/>
      <c r="C42" s="7"/>
      <c r="D42" s="7"/>
      <c r="E42" s="7"/>
      <c r="F42" s="7"/>
      <c r="G42" s="7"/>
      <c r="H42" s="7"/>
    </row>
    <row r="43" ht="15.75" customHeight="1">
      <c r="A43" s="7"/>
      <c r="B43" s="7"/>
      <c r="C43" s="7"/>
      <c r="D43" s="7"/>
      <c r="E43" s="7"/>
      <c r="F43" s="7"/>
      <c r="G43" s="7"/>
      <c r="H43" s="7"/>
    </row>
    <row r="44" ht="15.75" customHeight="1">
      <c r="A44" s="7"/>
      <c r="B44" s="7"/>
      <c r="C44" s="7"/>
      <c r="D44" s="7"/>
      <c r="E44" s="7"/>
      <c r="F44" s="7"/>
      <c r="G44" s="7"/>
      <c r="H44" s="7"/>
    </row>
    <row r="45" ht="15.75" customHeight="1">
      <c r="A45" s="7"/>
      <c r="B45" s="7"/>
      <c r="C45" s="7"/>
      <c r="D45" s="7"/>
      <c r="E45" s="7"/>
      <c r="F45" s="7"/>
      <c r="G45" s="7"/>
      <c r="H45" s="7"/>
    </row>
    <row r="46" ht="15.75" customHeight="1">
      <c r="A46" s="7"/>
      <c r="B46" s="7"/>
      <c r="C46" s="7"/>
      <c r="D46" s="7"/>
      <c r="E46" s="7"/>
      <c r="F46" s="7"/>
      <c r="G46" s="7"/>
      <c r="H46" s="7"/>
    </row>
    <row r="47" ht="15.75" customHeight="1">
      <c r="A47" s="7"/>
      <c r="B47" s="7"/>
      <c r="C47" s="7"/>
      <c r="D47" s="7"/>
      <c r="E47" s="7"/>
      <c r="F47" s="7"/>
      <c r="G47" s="7"/>
      <c r="H47" s="7"/>
    </row>
    <row r="48" ht="15.75" customHeight="1">
      <c r="A48" s="7"/>
      <c r="B48" s="7"/>
      <c r="C48" s="7"/>
      <c r="D48" s="7"/>
      <c r="E48" s="7"/>
      <c r="F48" s="7"/>
      <c r="G48" s="7"/>
      <c r="H48" s="7"/>
    </row>
    <row r="49" ht="15.75" customHeight="1">
      <c r="A49" s="7"/>
      <c r="B49" s="7"/>
      <c r="C49" s="7"/>
      <c r="D49" s="7"/>
      <c r="E49" s="7"/>
      <c r="F49" s="7"/>
      <c r="G49" s="7"/>
      <c r="H49" s="7"/>
    </row>
    <row r="50" ht="15.75" customHeight="1">
      <c r="A50" s="7"/>
      <c r="B50" s="7"/>
      <c r="C50" s="7"/>
      <c r="D50" s="7"/>
      <c r="E50" s="7"/>
      <c r="F50" s="7"/>
      <c r="G50" s="7"/>
      <c r="H50" s="7"/>
    </row>
    <row r="51" ht="15.75" customHeight="1">
      <c r="A51" s="7"/>
      <c r="B51" s="7"/>
      <c r="C51" s="7"/>
      <c r="D51" s="7"/>
      <c r="E51" s="7"/>
      <c r="F51" s="7"/>
      <c r="G51" s="7"/>
      <c r="H51" s="7"/>
    </row>
    <row r="52" ht="15.75" customHeight="1">
      <c r="A52" s="7"/>
      <c r="B52" s="7"/>
      <c r="C52" s="7"/>
      <c r="D52" s="7"/>
      <c r="E52" s="7"/>
      <c r="F52" s="7"/>
      <c r="G52" s="7"/>
      <c r="H52" s="7"/>
    </row>
    <row r="53" ht="15.75" customHeight="1">
      <c r="A53" s="7"/>
      <c r="B53" s="7"/>
      <c r="C53" s="7"/>
      <c r="D53" s="7"/>
      <c r="E53" s="7"/>
      <c r="F53" s="7"/>
      <c r="G53" s="7"/>
      <c r="H53" s="7"/>
    </row>
    <row r="54" ht="15.75" customHeight="1">
      <c r="A54" s="7"/>
      <c r="B54" s="7"/>
      <c r="C54" s="7"/>
      <c r="D54" s="7"/>
      <c r="E54" s="7"/>
      <c r="F54" s="7"/>
      <c r="G54" s="7"/>
      <c r="H54" s="7"/>
    </row>
    <row r="55" ht="15.75" customHeight="1">
      <c r="A55" s="7"/>
      <c r="B55" s="7"/>
      <c r="C55" s="7"/>
      <c r="D55" s="7"/>
      <c r="E55" s="7"/>
      <c r="F55" s="7"/>
      <c r="G55" s="7"/>
      <c r="H55" s="7"/>
    </row>
    <row r="56" ht="15.75" customHeight="1">
      <c r="A56" s="7"/>
      <c r="B56" s="7"/>
      <c r="C56" s="7"/>
      <c r="D56" s="7"/>
      <c r="E56" s="7"/>
      <c r="F56" s="7"/>
      <c r="G56" s="7"/>
      <c r="H56" s="7"/>
    </row>
    <row r="57" ht="15.75" customHeight="1">
      <c r="A57" s="7"/>
      <c r="B57" s="7"/>
      <c r="C57" s="7"/>
      <c r="D57" s="7"/>
      <c r="E57" s="7"/>
      <c r="F57" s="7"/>
      <c r="G57" s="7"/>
      <c r="H57" s="7"/>
    </row>
    <row r="58" ht="15.75" customHeight="1">
      <c r="A58" s="7"/>
      <c r="B58" s="7"/>
      <c r="C58" s="7"/>
      <c r="D58" s="7"/>
      <c r="E58" s="7"/>
      <c r="F58" s="7"/>
      <c r="G58" s="7"/>
      <c r="H58" s="7"/>
    </row>
    <row r="59" ht="15.75" customHeight="1">
      <c r="A59" s="7"/>
      <c r="B59" s="7"/>
      <c r="C59" s="7"/>
      <c r="D59" s="7"/>
      <c r="E59" s="7"/>
      <c r="F59" s="7"/>
      <c r="G59" s="7"/>
      <c r="H59" s="7"/>
    </row>
    <row r="60" ht="15.75" customHeight="1">
      <c r="A60" s="7"/>
      <c r="B60" s="7"/>
      <c r="C60" s="7"/>
      <c r="D60" s="7"/>
      <c r="E60" s="7"/>
      <c r="F60" s="7"/>
      <c r="G60" s="7"/>
      <c r="H60" s="7"/>
    </row>
    <row r="61" ht="15.75" customHeight="1">
      <c r="A61" s="7"/>
      <c r="B61" s="7"/>
      <c r="C61" s="7"/>
      <c r="D61" s="7"/>
      <c r="E61" s="7"/>
      <c r="F61" s="7"/>
      <c r="G61" s="7"/>
      <c r="H61" s="7"/>
    </row>
    <row r="62" ht="15.75" customHeight="1">
      <c r="A62" s="7"/>
      <c r="B62" s="7"/>
      <c r="C62" s="7"/>
      <c r="D62" s="7"/>
      <c r="E62" s="7"/>
      <c r="F62" s="7"/>
      <c r="G62" s="7"/>
      <c r="H62" s="7"/>
    </row>
    <row r="63" ht="15.75" customHeight="1">
      <c r="A63" s="7"/>
      <c r="B63" s="7"/>
      <c r="C63" s="7"/>
      <c r="D63" s="7"/>
      <c r="E63" s="7"/>
      <c r="F63" s="7"/>
      <c r="G63" s="7"/>
      <c r="H63" s="7"/>
    </row>
    <row r="64" ht="15.75" customHeight="1">
      <c r="A64" s="7"/>
      <c r="B64" s="7"/>
      <c r="C64" s="7"/>
      <c r="D64" s="7"/>
      <c r="E64" s="7"/>
      <c r="F64" s="7"/>
      <c r="G64" s="7"/>
      <c r="H64" s="7"/>
    </row>
    <row r="65" ht="15.75" customHeight="1">
      <c r="A65" s="7"/>
      <c r="B65" s="7"/>
      <c r="C65" s="7"/>
      <c r="D65" s="7"/>
      <c r="E65" s="7"/>
      <c r="F65" s="7"/>
      <c r="G65" s="7"/>
      <c r="H65" s="7"/>
    </row>
    <row r="66" ht="15.75" customHeight="1">
      <c r="A66" s="7"/>
      <c r="B66" s="7"/>
      <c r="C66" s="7"/>
      <c r="D66" s="7"/>
      <c r="E66" s="7"/>
      <c r="F66" s="7"/>
      <c r="G66" s="7"/>
      <c r="H66" s="7"/>
    </row>
    <row r="67" ht="15.75" customHeight="1">
      <c r="A67" s="7"/>
      <c r="B67" s="7"/>
      <c r="C67" s="7"/>
      <c r="D67" s="7"/>
      <c r="E67" s="7"/>
      <c r="F67" s="7"/>
      <c r="G67" s="7"/>
      <c r="H67" s="7"/>
    </row>
    <row r="68" ht="15.75" customHeight="1">
      <c r="A68" s="7"/>
      <c r="B68" s="7"/>
      <c r="C68" s="7"/>
      <c r="D68" s="7"/>
      <c r="E68" s="7"/>
      <c r="F68" s="7"/>
      <c r="G68" s="7"/>
      <c r="H68" s="7"/>
    </row>
    <row r="69" ht="15.75" customHeight="1">
      <c r="A69" s="7"/>
      <c r="B69" s="7"/>
      <c r="C69" s="7"/>
      <c r="D69" s="7"/>
      <c r="E69" s="7"/>
      <c r="F69" s="7"/>
      <c r="G69" s="7"/>
      <c r="H69" s="7"/>
    </row>
    <row r="70" ht="15.75" customHeight="1">
      <c r="A70" s="7"/>
      <c r="B70" s="7"/>
      <c r="C70" s="7"/>
      <c r="D70" s="7"/>
      <c r="E70" s="7"/>
      <c r="F70" s="7"/>
      <c r="G70" s="7"/>
      <c r="H70" s="7"/>
    </row>
    <row r="71" ht="15.75" customHeight="1">
      <c r="A71" s="7"/>
      <c r="B71" s="7"/>
      <c r="C71" s="7"/>
      <c r="D71" s="7"/>
      <c r="E71" s="7"/>
      <c r="F71" s="7"/>
      <c r="G71" s="7"/>
      <c r="H71" s="7"/>
    </row>
    <row r="72" ht="15.75" customHeight="1">
      <c r="A72" s="7"/>
      <c r="B72" s="7"/>
      <c r="C72" s="7"/>
      <c r="D72" s="7"/>
      <c r="E72" s="7"/>
      <c r="F72" s="7"/>
      <c r="G72" s="7"/>
      <c r="H72" s="7"/>
    </row>
    <row r="73" ht="15.75" customHeight="1">
      <c r="A73" s="7"/>
      <c r="B73" s="7"/>
      <c r="C73" s="7"/>
      <c r="D73" s="7"/>
      <c r="E73" s="7"/>
      <c r="F73" s="7"/>
      <c r="G73" s="7"/>
      <c r="H73" s="7"/>
    </row>
    <row r="74" ht="15.75" customHeight="1">
      <c r="A74" s="7"/>
      <c r="B74" s="7"/>
      <c r="C74" s="7"/>
      <c r="D74" s="7"/>
      <c r="E74" s="7"/>
      <c r="F74" s="7"/>
      <c r="G74" s="7"/>
      <c r="H74" s="7"/>
    </row>
    <row r="75" ht="15.75" customHeight="1">
      <c r="A75" s="7"/>
      <c r="B75" s="7"/>
      <c r="C75" s="7"/>
      <c r="D75" s="7"/>
      <c r="E75" s="7"/>
      <c r="F75" s="7"/>
      <c r="G75" s="7"/>
      <c r="H75" s="7"/>
    </row>
    <row r="76" ht="15.75" customHeight="1">
      <c r="A76" s="7"/>
      <c r="B76" s="7"/>
      <c r="C76" s="7"/>
      <c r="D76" s="7"/>
      <c r="E76" s="7"/>
      <c r="F76" s="7"/>
      <c r="G76" s="7"/>
      <c r="H76" s="7"/>
    </row>
    <row r="77" ht="15.75" customHeight="1">
      <c r="A77" s="7"/>
      <c r="B77" s="7"/>
      <c r="C77" s="7"/>
      <c r="D77" s="7"/>
      <c r="E77" s="7"/>
      <c r="F77" s="7"/>
      <c r="G77" s="7"/>
      <c r="H77" s="7"/>
    </row>
    <row r="78" ht="15.75" customHeight="1">
      <c r="A78" s="7"/>
      <c r="B78" s="7"/>
      <c r="C78" s="7"/>
      <c r="D78" s="7"/>
      <c r="E78" s="7"/>
      <c r="F78" s="7"/>
      <c r="G78" s="7"/>
      <c r="H78" s="7"/>
    </row>
    <row r="79" ht="15.75" customHeight="1">
      <c r="A79" s="7"/>
      <c r="B79" s="7"/>
      <c r="C79" s="7"/>
      <c r="D79" s="7"/>
      <c r="E79" s="7"/>
      <c r="F79" s="7"/>
      <c r="G79" s="7"/>
      <c r="H79" s="7"/>
    </row>
    <row r="80" ht="15.75" customHeight="1">
      <c r="A80" s="7"/>
      <c r="B80" s="7"/>
      <c r="C80" s="7"/>
      <c r="D80" s="7"/>
      <c r="E80" s="7"/>
      <c r="F80" s="7"/>
      <c r="G80" s="7"/>
      <c r="H80" s="7"/>
    </row>
    <row r="81" ht="15.75" customHeight="1">
      <c r="A81" s="7"/>
      <c r="B81" s="7"/>
      <c r="C81" s="7"/>
      <c r="D81" s="7"/>
      <c r="E81" s="7"/>
      <c r="F81" s="7"/>
      <c r="G81" s="7"/>
      <c r="H81" s="7"/>
    </row>
    <row r="82" ht="15.75" customHeight="1">
      <c r="A82" s="7"/>
      <c r="B82" s="7"/>
      <c r="C82" s="7"/>
      <c r="D82" s="7"/>
      <c r="E82" s="7"/>
      <c r="F82" s="7"/>
      <c r="G82" s="7"/>
      <c r="H82" s="7"/>
    </row>
    <row r="83" ht="15.75" customHeight="1">
      <c r="A83" s="7"/>
      <c r="B83" s="7"/>
      <c r="C83" s="7"/>
      <c r="D83" s="7"/>
      <c r="E83" s="7"/>
      <c r="F83" s="7"/>
      <c r="G83" s="7"/>
      <c r="H83" s="7"/>
    </row>
    <row r="84" ht="15.75" customHeight="1">
      <c r="A84" s="7"/>
      <c r="B84" s="7"/>
      <c r="C84" s="7"/>
      <c r="D84" s="7"/>
      <c r="E84" s="7"/>
      <c r="F84" s="7"/>
      <c r="G84" s="7"/>
      <c r="H84" s="7"/>
    </row>
    <row r="85" ht="15.75" customHeight="1">
      <c r="A85" s="7"/>
      <c r="B85" s="7"/>
      <c r="C85" s="7"/>
      <c r="D85" s="7"/>
      <c r="E85" s="7"/>
      <c r="F85" s="7"/>
      <c r="G85" s="7"/>
      <c r="H85" s="7"/>
    </row>
    <row r="86" ht="15.75" customHeight="1">
      <c r="A86" s="7"/>
      <c r="B86" s="7"/>
      <c r="C86" s="7"/>
      <c r="D86" s="7"/>
      <c r="E86" s="7"/>
      <c r="F86" s="7"/>
      <c r="G86" s="7"/>
      <c r="H86" s="7"/>
    </row>
    <row r="87" ht="15.75" customHeight="1">
      <c r="A87" s="7"/>
      <c r="B87" s="7"/>
      <c r="C87" s="7"/>
      <c r="D87" s="7"/>
      <c r="E87" s="7"/>
      <c r="F87" s="7"/>
      <c r="G87" s="7"/>
      <c r="H87" s="7"/>
    </row>
    <row r="88" ht="15.75" customHeight="1">
      <c r="A88" s="7"/>
      <c r="B88" s="7"/>
      <c r="C88" s="7"/>
      <c r="D88" s="7"/>
      <c r="E88" s="7"/>
      <c r="F88" s="7"/>
      <c r="G88" s="7"/>
      <c r="H88" s="7"/>
    </row>
    <row r="89" ht="15.75" customHeight="1">
      <c r="A89" s="7"/>
      <c r="B89" s="7"/>
      <c r="C89" s="7"/>
      <c r="D89" s="7"/>
      <c r="E89" s="7"/>
      <c r="F89" s="7"/>
      <c r="G89" s="7"/>
      <c r="H89" s="7"/>
    </row>
    <row r="90" ht="15.75" customHeight="1">
      <c r="A90" s="7"/>
      <c r="B90" s="7"/>
      <c r="C90" s="7"/>
      <c r="D90" s="7"/>
      <c r="E90" s="7"/>
      <c r="F90" s="7"/>
      <c r="G90" s="7"/>
      <c r="H90" s="7"/>
    </row>
    <row r="91" ht="15.75" customHeight="1">
      <c r="A91" s="7"/>
      <c r="B91" s="7"/>
      <c r="C91" s="7"/>
      <c r="D91" s="7"/>
      <c r="E91" s="7"/>
      <c r="F91" s="7"/>
      <c r="G91" s="7"/>
      <c r="H91" s="7"/>
    </row>
    <row r="92" ht="15.75" customHeight="1">
      <c r="A92" s="7"/>
      <c r="B92" s="7"/>
      <c r="C92" s="7"/>
      <c r="D92" s="7"/>
      <c r="E92" s="7"/>
      <c r="F92" s="7"/>
      <c r="G92" s="7"/>
      <c r="H92" s="7"/>
    </row>
    <row r="93" ht="15.75" customHeight="1">
      <c r="A93" s="7"/>
      <c r="B93" s="7"/>
      <c r="C93" s="7"/>
      <c r="D93" s="7"/>
      <c r="E93" s="7"/>
      <c r="F93" s="7"/>
      <c r="G93" s="7"/>
      <c r="H93" s="7"/>
    </row>
    <row r="94" ht="15.75" customHeight="1">
      <c r="A94" s="7"/>
      <c r="B94" s="7"/>
      <c r="C94" s="7"/>
      <c r="D94" s="7"/>
      <c r="E94" s="7"/>
      <c r="F94" s="7"/>
      <c r="G94" s="7"/>
      <c r="H94" s="7"/>
    </row>
    <row r="95" ht="15.75" customHeight="1">
      <c r="A95" s="7"/>
      <c r="B95" s="7"/>
      <c r="C95" s="7"/>
      <c r="D95" s="7"/>
      <c r="E95" s="7"/>
      <c r="F95" s="7"/>
      <c r="G95" s="7"/>
      <c r="H95" s="7"/>
    </row>
    <row r="96" ht="15.75" customHeight="1">
      <c r="A96" s="7"/>
      <c r="B96" s="7"/>
      <c r="C96" s="7"/>
      <c r="D96" s="7"/>
      <c r="E96" s="7"/>
      <c r="F96" s="7"/>
      <c r="G96" s="7"/>
      <c r="H96" s="7"/>
    </row>
    <row r="97" ht="15.75" customHeight="1">
      <c r="A97" s="7"/>
      <c r="B97" s="7"/>
      <c r="C97" s="7"/>
      <c r="D97" s="7"/>
      <c r="E97" s="7"/>
      <c r="F97" s="7"/>
      <c r="G97" s="7"/>
      <c r="H97" s="7"/>
    </row>
    <row r="98" ht="15.75" customHeight="1">
      <c r="A98" s="7"/>
      <c r="B98" s="7"/>
      <c r="C98" s="7"/>
      <c r="D98" s="7"/>
      <c r="E98" s="7"/>
      <c r="F98" s="7"/>
      <c r="G98" s="7"/>
      <c r="H98" s="7"/>
    </row>
    <row r="99" ht="15.75" customHeight="1">
      <c r="A99" s="7"/>
      <c r="B99" s="7"/>
      <c r="C99" s="7"/>
      <c r="D99" s="7"/>
      <c r="E99" s="7"/>
      <c r="F99" s="7"/>
      <c r="G99" s="7"/>
      <c r="H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</row>
  </sheetData>
  <mergeCells count="21">
    <mergeCell ref="A1:H1"/>
    <mergeCell ref="A2:H2"/>
    <mergeCell ref="A3:H3"/>
    <mergeCell ref="A4:H4"/>
    <mergeCell ref="A5:B5"/>
    <mergeCell ref="A6:B6"/>
    <mergeCell ref="A7:B7"/>
    <mergeCell ref="A14:B14"/>
    <mergeCell ref="A15:B15"/>
    <mergeCell ref="A16:B16"/>
    <mergeCell ref="A17:B17"/>
    <mergeCell ref="C15:H15"/>
    <mergeCell ref="C16:H16"/>
    <mergeCell ref="C17:H17"/>
    <mergeCell ref="A8:B8"/>
    <mergeCell ref="A9:B9"/>
    <mergeCell ref="A10:B10"/>
    <mergeCell ref="A12:H12"/>
    <mergeCell ref="A13:B13"/>
    <mergeCell ref="C13:H13"/>
    <mergeCell ref="C14:H14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2">
      <c r="A2" s="65" t="s">
        <v>160</v>
      </c>
    </row>
    <row r="3">
      <c r="A3" s="66" t="s">
        <v>161</v>
      </c>
    </row>
    <row r="4">
      <c r="A4" s="67" t="s">
        <v>162</v>
      </c>
    </row>
    <row r="5">
      <c r="A5" s="67" t="s">
        <v>163</v>
      </c>
    </row>
    <row r="6">
      <c r="A6" s="67" t="s">
        <v>164</v>
      </c>
    </row>
    <row r="8">
      <c r="A8" s="66" t="s">
        <v>165</v>
      </c>
    </row>
    <row r="9">
      <c r="A9" s="67" t="s">
        <v>166</v>
      </c>
    </row>
    <row r="10">
      <c r="A10" s="67" t="s">
        <v>167</v>
      </c>
    </row>
    <row r="11">
      <c r="A11" s="67" t="s">
        <v>168</v>
      </c>
    </row>
    <row r="13">
      <c r="A13" s="66" t="s">
        <v>169</v>
      </c>
    </row>
    <row r="14">
      <c r="A14" s="67" t="s">
        <v>170</v>
      </c>
    </row>
    <row r="15">
      <c r="A15" s="67" t="s">
        <v>171</v>
      </c>
    </row>
    <row r="16">
      <c r="A16" s="67" t="s">
        <v>172</v>
      </c>
    </row>
    <row r="18">
      <c r="A18" s="66" t="s">
        <v>173</v>
      </c>
    </row>
    <row r="19">
      <c r="A19" s="67" t="s">
        <v>174</v>
      </c>
    </row>
    <row r="20">
      <c r="A20" s="67" t="s">
        <v>175</v>
      </c>
    </row>
    <row r="21">
      <c r="A21" s="67" t="s">
        <v>176</v>
      </c>
    </row>
    <row r="22">
      <c r="A22" s="67" t="s">
        <v>177</v>
      </c>
    </row>
    <row r="24">
      <c r="A24" s="66" t="s">
        <v>178</v>
      </c>
    </row>
    <row r="25">
      <c r="A25" s="67" t="s">
        <v>179</v>
      </c>
    </row>
    <row r="26">
      <c r="A26" s="67" t="s">
        <v>180</v>
      </c>
    </row>
    <row r="27">
      <c r="A27" s="67" t="s">
        <v>181</v>
      </c>
    </row>
    <row r="29">
      <c r="A29" s="68" t="s">
        <v>182</v>
      </c>
    </row>
    <row r="30">
      <c r="A30" s="69" t="s">
        <v>183</v>
      </c>
    </row>
    <row r="31">
      <c r="A31" s="67" t="s">
        <v>184</v>
      </c>
    </row>
    <row r="32">
      <c r="A32" s="67" t="s">
        <v>185</v>
      </c>
    </row>
    <row r="34">
      <c r="A34" s="69" t="s">
        <v>186</v>
      </c>
    </row>
    <row r="35">
      <c r="A35" s="67" t="s">
        <v>187</v>
      </c>
    </row>
    <row r="36">
      <c r="A36" s="67" t="s">
        <v>188</v>
      </c>
    </row>
    <row r="38">
      <c r="A38" s="69" t="s">
        <v>189</v>
      </c>
    </row>
    <row r="39">
      <c r="A39" s="67" t="s">
        <v>190</v>
      </c>
    </row>
    <row r="40">
      <c r="A40" s="67" t="s">
        <v>191</v>
      </c>
    </row>
    <row r="42">
      <c r="A42" s="69" t="s">
        <v>192</v>
      </c>
    </row>
    <row r="43">
      <c r="A43" s="67" t="s">
        <v>193</v>
      </c>
    </row>
    <row r="44">
      <c r="A44" s="67" t="s">
        <v>194</v>
      </c>
    </row>
    <row r="46">
      <c r="A46" s="69" t="s">
        <v>195</v>
      </c>
    </row>
    <row r="47">
      <c r="A47" s="67" t="s">
        <v>196</v>
      </c>
    </row>
    <row r="51">
      <c r="A51" s="68" t="s">
        <v>197</v>
      </c>
    </row>
    <row r="52">
      <c r="A52" s="66" t="s">
        <v>198</v>
      </c>
    </row>
    <row r="53">
      <c r="A53" s="67" t="s">
        <v>199</v>
      </c>
    </row>
    <row r="54">
      <c r="A54" s="67" t="s">
        <v>200</v>
      </c>
    </row>
    <row r="55">
      <c r="A55" s="67" t="s">
        <v>201</v>
      </c>
    </row>
    <row r="57">
      <c r="A57" s="66" t="s">
        <v>202</v>
      </c>
    </row>
    <row r="58">
      <c r="A58" s="67" t="s">
        <v>203</v>
      </c>
    </row>
    <row r="59">
      <c r="A59" s="67" t="s">
        <v>204</v>
      </c>
    </row>
    <row r="60">
      <c r="A60" s="67" t="s">
        <v>205</v>
      </c>
    </row>
    <row r="62">
      <c r="A62" s="66" t="s">
        <v>206</v>
      </c>
    </row>
    <row r="63">
      <c r="A63" s="67" t="s">
        <v>207</v>
      </c>
    </row>
    <row r="64">
      <c r="A64" s="67" t="s">
        <v>208</v>
      </c>
    </row>
    <row r="65">
      <c r="A65" s="67" t="s">
        <v>209</v>
      </c>
    </row>
    <row r="67">
      <c r="A67" s="66" t="s">
        <v>210</v>
      </c>
    </row>
    <row r="68">
      <c r="A68" s="67" t="s">
        <v>211</v>
      </c>
    </row>
    <row r="69">
      <c r="A69" s="67" t="s">
        <v>212</v>
      </c>
    </row>
    <row r="70">
      <c r="A70" s="67" t="s">
        <v>213</v>
      </c>
    </row>
    <row r="72">
      <c r="A72" s="66" t="s">
        <v>214</v>
      </c>
    </row>
    <row r="73">
      <c r="A73" s="67" t="s">
        <v>215</v>
      </c>
    </row>
    <row r="74">
      <c r="A74" s="67" t="s">
        <v>216</v>
      </c>
    </row>
    <row r="75">
      <c r="A75" s="67" t="s">
        <v>217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2026-03-28T00:42:03Z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